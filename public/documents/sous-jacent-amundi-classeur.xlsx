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isez-moi" sheetId="1" state="visible" r:id="rId3"/>
    <sheet name="CR_comptable" sheetId="2" state="visible" r:id="rId4"/>
    <sheet name="CR_ajuste" sheetId="3" state="visible" r:id="rId5"/>
    <sheet name="Encours_collecte" sheetId="4" state="visible" r:id="rId6"/>
    <sheet name="Bilan" sheetId="5" state="visible" r:id="rId7"/>
    <sheet name="Action" sheetId="6" state="visible" r:id="rId8"/>
    <sheet name="Pont_encours" sheetId="7" state="visible" r:id="rId9"/>
    <sheet name="Charges_marges" sheetId="8" state="visible" r:id="rId10"/>
    <sheet name="Ruptures_retraitements" sheetId="9" state="visible" r:id="rId11"/>
    <sheet name="Macro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<sst xmlns="http://schemas.openxmlformats.org/spreadsheetml/2006/main" count="212" uniqueCount="186">
  <si>
    <t xml:space="preserve">Amundi — reconstitution des comptes 2010-2025 (étude n° 2, chapitre 15)</t>
  </si>
  <si>
    <t xml:space="preserve">Établi le 20/10/2026 à partir des sources primaires listées dans claude/etude-02-amundi-SOURCES.md.</t>
  </si>
  <si>
    <t xml:space="preserve">Conventions : M€ sauf mention ; valeurs saisies en bleu, formules en noir ; série comptable = dernier retraitement connu, chaque retraitement est consigné dans l'onglet Ruptures_retraitements.</t>
  </si>
  <si>
    <t xml:space="preserve">Les documents téléchargés depuis about.amundi.com sont les versions anglaises (traductions libres) ; les chiffres sont identiques à la version française déposée à l'AMF, qui fait foi pour les citations.</t>
  </si>
  <si>
    <t xml:space="preserve">2010-2011 : comptes IFRS d'Amundi Group (rapport d'activité 2011). 2012-2014 : document de base de l'IPO. 2015-2025 : URD et communiqués annuels.</t>
  </si>
  <si>
    <t xml:space="preserve">Limites connues : 2012-2013 au million près seulement ; incorporels 2012-2013 non isolés ; indicateurs ajustés antérieurs à 2016 selon des définitions différentes.</t>
  </si>
  <si>
    <t xml:space="preserve">Compte de résultat consolidé IFRS, tel que publié (dernier retraitement connu)</t>
  </si>
  <si>
    <t xml:space="preserve">M€ — bleu : saisi depuis la source ; noir : formule</t>
  </si>
  <si>
    <t xml:space="preserve">Ligne</t>
  </si>
  <si>
    <t xml:space="preserve">Source / remarque</t>
  </si>
  <si>
    <t xml:space="preserve">Produit net / revenus nets (IFRS)</t>
  </si>
  <si>
    <t xml:space="preserve">2010-11 : rapport 2011 p.49 ; 2012-13 : document de base ch.3 ; 2014 : URD 2015 (retraité IFRIC 21) ; 2015-2025 : URD n, comptes consolidés 6.2.1</t>
  </si>
  <si>
    <t xml:space="preserve">Charges générales d'exploitation</t>
  </si>
  <si>
    <t xml:space="preserve">idem</t>
  </si>
  <si>
    <t xml:space="preserve">Résultat brut d'exploitation</t>
  </si>
  <si>
    <t xml:space="preserve">calculé = revenus + charges</t>
  </si>
  <si>
    <t xml:space="preserve">Coût du risque</t>
  </si>
  <si>
    <t xml:space="preserve">Quote-part des sociétés mises en équivalence</t>
  </si>
  <si>
    <t xml:space="preserve">2025 : JV 135 + Victory Capital 66</t>
  </si>
  <si>
    <t xml:space="preserve">Gains/pertes sur autres actifs</t>
  </si>
  <si>
    <t xml:space="preserve">2025 : déconsolidation d'Amundi US (apport à Victory Capital)</t>
  </si>
  <si>
    <t xml:space="preserve">Résultat avant impôt</t>
  </si>
  <si>
    <t xml:space="preserve">calculé</t>
  </si>
  <si>
    <t xml:space="preserve">Impôt</t>
  </si>
  <si>
    <t xml:space="preserve">2021 inclut Affrancamento +114</t>
  </si>
  <si>
    <t xml:space="preserve">Résultat net de l'exercice</t>
  </si>
  <si>
    <t xml:space="preserve">Résultat net part du groupe (publié)</t>
  </si>
  <si>
    <t xml:space="preserve">publié ; écart avec la ligne précédente = intérêts minoritaires</t>
  </si>
  <si>
    <t xml:space="preserve">Coefficient d'exploitation comptable %</t>
  </si>
  <si>
    <t xml:space="preserve">calculé = charges / revenus</t>
  </si>
  <si>
    <t xml:space="preserve">Indicateurs de gestion et résultat ajusté (définitions Amundi)</t>
  </si>
  <si>
    <t xml:space="preserve">M€</t>
  </si>
  <si>
    <t xml:space="preserve">Commissions nettes de gestion</t>
  </si>
  <si>
    <t xml:space="preserve">2010-11 présentation de gestion (2010 pro forma BFT) ; 2021 retraité (2 786 publié) ; 2024 publié (pro forma hors Amundi US : 2 930)</t>
  </si>
  <si>
    <t xml:space="preserve">Commissions de surperformance</t>
  </si>
  <si>
    <t xml:space="preserve">2021 : 261 M€ jugés exceptionnels par Amundi (revenus normalisés)</t>
  </si>
  <si>
    <t xml:space="preserve">Amundi Technology</t>
  </si>
  <si>
    <t xml:space="preserve">ligne isolée depuis 2021</t>
  </si>
  <si>
    <t xml:space="preserve">Revenus nets ajustés</t>
  </si>
  <si>
    <t xml:space="preserve">définition Amundi : hors amortissement des contrats de distribution / incorporels ; 2024 pro forma hors US : 3 231</t>
  </si>
  <si>
    <t xml:space="preserve">Charges ajustées</t>
  </si>
  <si>
    <t xml:space="preserve">hors coûts d'intégration (Pioneer, Lyxor, aixigo) ; 2024 PF : -1 677</t>
  </si>
  <si>
    <t xml:space="preserve">Résultat net part du groupe ajusté</t>
  </si>
  <si>
    <t xml:space="preserve">2010-11 gestion ; 2012 hors plus-value HLA ; 2015 hors frais d'IPO ; 2017 combiné Amundi+Pioneer : 918 ; 2021 normalisé : 1 158</t>
  </si>
  <si>
    <t xml:space="preserve">Coefficient d'exploitation ajusté %</t>
  </si>
  <si>
    <t xml:space="preserve">Encours sous gestion et collecte nette</t>
  </si>
  <si>
    <t xml:space="preserve">Md€</t>
  </si>
  <si>
    <t xml:space="preserve">Encours fin d'année, y.c. JV (Md€)</t>
  </si>
  <si>
    <t xml:space="preserve">2010 pro forma BFT ; 2012 : changement de méthode (JV à 100 %) ; 2017 Pioneer ; 2021 Lyxor (148) ; 2025 hors Amundi US, VCTR non compté</t>
  </si>
  <si>
    <t xml:space="preserve">dont JV (Md€)</t>
  </si>
  <si>
    <t xml:space="preserve">SBI FM, ABC-CA, NH-Amundi, Wafa (34 %)</t>
  </si>
  <si>
    <t xml:space="preserve">Encours hors JV (Md€)</t>
  </si>
  <si>
    <t xml:space="preserve">Collecte nette, y.c. JV (Md€)</t>
  </si>
  <si>
    <t xml:space="preserve">communiqués annuels (colonne exercice ; 2017 combiné avec Pioneer) — 2021 et 2022 corrigés le 20/10/2026 (60,2 et 7,0 ; 65,6 et 15,0 étaient les chiffres du T4)</t>
  </si>
  <si>
    <t xml:space="preserve">Collecte / encours début %</t>
  </si>
  <si>
    <t xml:space="preserve">Postes clés du bilan consolidé</t>
  </si>
  <si>
    <t xml:space="preserve">M€ au 31/12</t>
  </si>
  <si>
    <t xml:space="preserve">Capitaux propres part du groupe</t>
  </si>
  <si>
    <t xml:space="preserve">2017 retraité IFRS 9 à 8 200 dans l'URD 2018</t>
  </si>
  <si>
    <t xml:space="preserve">Écarts d'acquisition</t>
  </si>
  <si>
    <t xml:space="preserve">Immobilisations incorporelles</t>
  </si>
  <si>
    <t xml:space="preserve">2012-13 : non isolées dans le document de base</t>
  </si>
  <si>
    <t xml:space="preserve">Fonds propres tangibles (calcul brut)</t>
  </si>
  <si>
    <t xml:space="preserve">calculé = CP − écarts d'acquisition − incorporels ; Amundi publie une mesure propre (4,9 Md€ fin 2025)</t>
  </si>
  <si>
    <t xml:space="preserve">Total bilan</t>
  </si>
  <si>
    <t xml:space="preserve">2025 reconstitué : passif 26 042,3 + CP 12 701,4</t>
  </si>
  <si>
    <t xml:space="preserve">Données par action</t>
  </si>
  <si>
    <t xml:space="preserve">Actions en fin d'année (millions)</t>
  </si>
  <si>
    <t xml:space="preserve">communiqués / supplément ; 2017 : augmentation de capital Pioneer</t>
  </si>
  <si>
    <t xml:space="preserve">Dividende par action (€), au titre de l'exercice</t>
  </si>
  <si>
    <t xml:space="preserve">2019 : aucun dividende (recommandation BCE, conseil du 01/04/2020) ; 2025 proposé à l'AG du 02/06/2026</t>
  </si>
  <si>
    <t xml:space="preserve">Dividende total (M€)</t>
  </si>
  <si>
    <t xml:space="preserve">URD 2025, politique de distribution</t>
  </si>
  <si>
    <t xml:space="preserve">Taux de distribution publié %</t>
  </si>
  <si>
    <t xml:space="preserve">Décomposition de la variation des encours</t>
  </si>
  <si>
    <t xml:space="preserve">Collecte nette</t>
  </si>
  <si>
    <t xml:space="preserve">communiqués annuels</t>
  </si>
  <si>
    <t xml:space="preserve">Effet marché et change</t>
  </si>
  <si>
    <t xml:space="preserve">somme des trimestres publiés ; 2025 = marché +154,9 et change −93,0 ; 2021 en résidu</t>
  </si>
  <si>
    <t xml:space="preserve">Effet périmètre</t>
  </si>
  <si>
    <t xml:space="preserve">2015 BAWAG ; 2016 KBI, CAI ; 2017 Pioneer ; 2020 Sabadell ; 2021 Lyxor ; 2023 cession Lyxor Inc. ; 2024 Alpha ; 2025 Amundi US/Victory</t>
  </si>
  <si>
    <t xml:space="preserve">Encours fin (Md€)</t>
  </si>
  <si>
    <t xml:space="preserve">Résidu de contrôle</t>
  </si>
  <si>
    <t xml:space="preserve">Croissance organique % (collecte / encours début)</t>
  </si>
  <si>
    <t xml:space="preserve">Croissance par les marchés % (marché / encours début)</t>
  </si>
  <si>
    <t xml:space="preserve">Charges, marges et productivité</t>
  </si>
  <si>
    <t xml:space="preserve">M€ sauf mention</t>
  </si>
  <si>
    <t xml:space="preserve">Frais de personnel (IFRS)</t>
  </si>
  <si>
    <t xml:space="preserve">URD note 4.4 ; 2023 et 2025 en ajusté (supplément financier)</t>
  </si>
  <si>
    <t xml:space="preserve">Charges totales (IFRS)</t>
  </si>
  <si>
    <t xml:space="preserve">Autres charges</t>
  </si>
  <si>
    <t xml:space="preserve">Part du personnel %</t>
  </si>
  <si>
    <t xml:space="preserve">Marge sur commissions publiée (pb)</t>
  </si>
  <si>
    <t xml:space="preserve">2010-11 R2011 ; 2014-17 URD ; 2017 combiné ; 2025 : 15,9 à périmètre comparable</t>
  </si>
  <si>
    <t xml:space="preserve">Encours moyens hors JV implicites (Md€)</t>
  </si>
  <si>
    <t xml:space="preserve">Effectif fin d'année (ETP, ordre de grandeur)</t>
  </si>
  <si>
    <t xml:space="preserve">R2011 ; communiqués ; 2025 URD (ETP consolidés)</t>
  </si>
  <si>
    <t xml:space="preserve">Année</t>
  </si>
  <si>
    <t xml:space="preserve">Nature</t>
  </si>
  <si>
    <t xml:space="preserve">Effet</t>
  </si>
  <si>
    <t xml:space="preserve">Traitement dans la série</t>
  </si>
  <si>
    <t xml:space="preserve">Source</t>
  </si>
  <si>
    <t xml:space="preserve">Création d'Amundi (CAAM + SGAM), charges de fusion</t>
  </si>
  <si>
    <t xml:space="preserve">Éléments extraordinaires −81 M€ (présentation de gestion)</t>
  </si>
  <si>
    <t xml:space="preserve">Comptable et gestion présentés séparément</t>
  </si>
  <si>
    <t xml:space="preserve">Rapport 2011 p.11</t>
  </si>
  <si>
    <t xml:space="preserve">Acquisition de BFT Gestion (01/07/2011, consolidée au 01/01)</t>
  </si>
  <si>
    <t xml:space="preserve">2010 pro forma en présentation de gestion</t>
  </si>
  <si>
    <t xml:space="preserve">2010 gestion pro forma ; 2010 IFRS non retraité</t>
  </si>
  <si>
    <t xml:space="preserve">Rapport 2011</t>
  </si>
  <si>
    <t xml:space="preserve">Rupture de présentation PNB → revenus nets</t>
  </si>
  <si>
    <t xml:space="preserve">Définitions différentes 2011/2012</t>
  </si>
  <si>
    <t xml:space="preserve">À réconcilier avant lecture longue</t>
  </si>
  <si>
    <t xml:space="preserve">Rapport 2011 / document de base</t>
  </si>
  <si>
    <t xml:space="preserve">Plus-value de cession de HLA</t>
  </si>
  <si>
    <t xml:space="preserve">+59,9 M€ avant impôt</t>
  </si>
  <si>
    <t xml:space="preserve">RN ajusté 2012 hors HLA = 427</t>
  </si>
  <si>
    <t xml:space="preserve">Document de base ch.3</t>
  </si>
  <si>
    <t xml:space="preserve">Application rétrospective d'IFRIC 21</t>
  </si>
  <si>
    <t xml:space="preserve">Revenus 1 540 → 1 538 ; charges 810 → 805</t>
  </si>
  <si>
    <t xml:space="preserve">Valeur retraitée retenue</t>
  </si>
  <si>
    <t xml:space="preserve">URD 2015</t>
  </si>
  <si>
    <t xml:space="preserve">Frais d'introduction en Bourse</t>
  </si>
  <si>
    <t xml:space="preserve">15 M€ avant impôt, 9 M€ après</t>
  </si>
  <si>
    <t xml:space="preserve">RN ajusté 528 vs publié 519</t>
  </si>
  <si>
    <t xml:space="preserve">CP T4 2015</t>
  </si>
  <si>
    <t xml:space="preserve">Amortissement des contrats de distribution (SG, Bawag)</t>
  </si>
  <si>
    <t xml:space="preserve">~17 M€ avant impôt</t>
  </si>
  <si>
    <t xml:space="preserve">Exclu du résultat ajusté à partir de 2017</t>
  </si>
  <si>
    <t xml:space="preserve">CP T4 2017</t>
  </si>
  <si>
    <t xml:space="preserve">Pioneer Investments consolidé au 01/07/2017</t>
  </si>
  <si>
    <t xml:space="preserve">Revenus +~420 M€ au S2 ; coûts d'intégration 135 M€ avant impôt</t>
  </si>
  <si>
    <t xml:space="preserve">Comptes combinés publiés en parallèle</t>
  </si>
  <si>
    <t xml:space="preserve">Fin des coûts d'intégration Pioneer (56 M€) ; IFRS 9</t>
  </si>
  <si>
    <t xml:space="preserve">CP 2017 retraités à 8 200</t>
  </si>
  <si>
    <t xml:space="preserve">—</t>
  </si>
  <si>
    <t xml:space="preserve">CP T4 2018, URD 2018</t>
  </si>
  <si>
    <t xml:space="preserve">Dividende 2019 supprimé (BCE)</t>
  </si>
  <si>
    <t xml:space="preserve">Dividende 0</t>
  </si>
  <si>
    <t xml:space="preserve">URD 2025</t>
  </si>
  <si>
    <t xml:space="preserve">Affrancamento (Italie)</t>
  </si>
  <si>
    <t xml:space="preserve">+114 M€ d'impôt différé, sans flux</t>
  </si>
  <si>
    <t xml:space="preserve">Exclu du résultat ajusté</t>
  </si>
  <si>
    <t xml:space="preserve">CP T4 2021</t>
  </si>
  <si>
    <t xml:space="preserve">Commissions de surperformance exceptionnelles</t>
  </si>
  <si>
    <t xml:space="preserve">261 M€ de revenus, 44 M€ de coûts associés</t>
  </si>
  <si>
    <t xml:space="preserve">Résultat « normalisé » 1 158</t>
  </si>
  <si>
    <t xml:space="preserve">CP T4 2022</t>
  </si>
  <si>
    <t xml:space="preserve">Lyxor consolidé au 31/12/2021 (bilan seulement)</t>
  </si>
  <si>
    <t xml:space="preserve">Encours +148 Md€ ; coûts d'intégration 16 M€ (2021), 62 M€ (2022)</t>
  </si>
  <si>
    <t xml:space="preserve">Exclus de l'ajusté</t>
  </si>
  <si>
    <t xml:space="preserve">CP T4 2021-2022</t>
  </si>
  <si>
    <t xml:space="preserve">Changement de présentation des produits financiers ajustés</t>
  </si>
  <si>
    <t xml:space="preserve">Lignes non comparables à 2022</t>
  </si>
  <si>
    <t xml:space="preserve">Noté</t>
  </si>
  <si>
    <t xml:space="preserve">CP T4 2023-2024</t>
  </si>
  <si>
    <t xml:space="preserve">Acquisitions d'Alpha Associates et d'aixigo</t>
  </si>
  <si>
    <t xml:space="preserve">PPA et coûts non cash exclus de l'ajusté</t>
  </si>
  <si>
    <t xml:space="preserve">CP T4 2024</t>
  </si>
  <si>
    <t xml:space="preserve">Amundi US apporté à Victory Capital (01/04/2025)</t>
  </si>
  <si>
    <t xml:space="preserve">Plus-value 402 M€ en autres actifs ; US mis en équivalence</t>
  </si>
  <si>
    <t xml:space="preserve">2024 pro forma publié</t>
  </si>
  <si>
    <t xml:space="preserve">CP T4 2025, URD 2025</t>
  </si>
  <si>
    <t xml:space="preserve">Correction de la base (20/10/2026)</t>
  </si>
  <si>
    <t xml:space="preserve">Collecte 2021 = 60,2 et 2022 = 7,0 (et non 65,6 / 15,0, chiffres du T4)</t>
  </si>
  <si>
    <t xml:space="preserve">Corrigé dans Encours_collecte et Pont_encours</t>
  </si>
  <si>
    <t xml:space="preserve">CP T4 2021, T4 2022</t>
  </si>
  <si>
    <t xml:space="preserve">Dividende exceptionnel de SBI MF</t>
  </si>
  <si>
    <t xml:space="preserve">130 M€ en trésorerie, sans effet sur le résultat</t>
  </si>
  <si>
    <t xml:space="preserve">CP T4 2025</t>
  </si>
  <si>
    <t xml:space="preserve">Introduction en Bourse de SBI FM (cession 3,7 %)</t>
  </si>
  <si>
    <t xml:space="preserve">Plus-value nette ≈ 300 M€ au T3 2026</t>
  </si>
  <si>
    <t xml:space="preserve">À exclure de la normalisation</t>
  </si>
  <si>
    <t xml:space="preserve">CP 17/07/2026</t>
  </si>
  <si>
    <t xml:space="preserve">Macroéconomie et marchés 2010-2026 (BCE, FRED ; 2026 au 16/10)</t>
  </si>
  <si>
    <t xml:space="preserve">Taux dépôt BCE fin %</t>
  </si>
  <si>
    <t xml:space="preserve">IPCH déc. %</t>
  </si>
  <si>
    <t xml:space="preserve">PIB zone euro %</t>
  </si>
  <si>
    <t xml:space="preserve">OAT 10a %</t>
  </si>
  <si>
    <t xml:space="preserve">Bund 10a %</t>
  </si>
  <si>
    <t xml:space="preserve">BTP 10a %</t>
  </si>
  <si>
    <t xml:space="preserve">EUR/USD</t>
  </si>
  <si>
    <t xml:space="preserve">Euro Stoxx 50</t>
  </si>
  <si>
    <t xml:space="preserve">ES50 var %</t>
  </si>
  <si>
    <t xml:space="preserve">Euro Stoxx var %</t>
  </si>
  <si>
    <t xml:space="preserve">Nasdaq var 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</si>
</sst>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;\(#,##0.0\)"/>
    <numFmt numFmtId="166" formatCode="0.0%"/>
    <numFmt numFmtId="167" formatCode="#,##0.0"/>
    <numFmt numFmtId="168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7" min="2" style="0" width="9"/>
    <col collapsed="false" customWidth="true" hidden="false" outlineLevel="0" max="18" min="18" style="0" width="70"/>
  </cols>
  <sheetData>
    <row r="1" customFormat="false" ht="16.15" hidden="false" customHeight="false" outlineLevel="0" collapsed="false">
      <c r="A1" s="2" t="s">
        <v>6</v>
      </c>
    </row>
    <row r="2" customFormat="false" ht="15" hidden="false" customHeight="false" outlineLevel="0" collapsed="false">
      <c r="A2" s="0" t="s">
        <v>7</v>
      </c>
    </row>
    <row r="4" customFormat="false" ht="15" hidden="false" customHeight="false" outlineLevel="0" collapsed="false">
      <c r="A4" s="3" t="s">
        <v>8</v>
      </c>
      <c r="B4" s="3" t="n">
        <v>2010</v>
      </c>
      <c r="C4" s="3" t="n">
        <v>2011</v>
      </c>
      <c r="D4" s="3" t="n">
        <v>2012</v>
      </c>
      <c r="E4" s="3" t="n">
        <v>2013</v>
      </c>
      <c r="F4" s="3" t="n">
        <v>2014</v>
      </c>
      <c r="G4" s="3" t="n">
        <v>2015</v>
      </c>
      <c r="H4" s="3" t="n">
        <v>2016</v>
      </c>
      <c r="I4" s="3" t="n">
        <v>2017</v>
      </c>
      <c r="J4" s="3" t="n">
        <v>2018</v>
      </c>
      <c r="K4" s="3" t="n">
        <v>2019</v>
      </c>
      <c r="L4" s="3" t="n">
        <v>2020</v>
      </c>
      <c r="M4" s="3" t="n">
        <v>2021</v>
      </c>
      <c r="N4" s="3" t="n">
        <v>2022</v>
      </c>
      <c r="O4" s="3" t="n">
        <v>2023</v>
      </c>
      <c r="P4" s="3" t="n">
        <v>2024</v>
      </c>
      <c r="Q4" s="3" t="n">
        <v>2025</v>
      </c>
      <c r="R4" s="3" t="s">
        <v>9</v>
      </c>
    </row>
    <row r="5" customFormat="false" ht="15" hidden="false" customHeight="false" outlineLevel="0" collapsed="false">
      <c r="A5" s="0" t="s">
        <v>10</v>
      </c>
      <c r="B5" s="4" t="n">
        <v>1483.7</v>
      </c>
      <c r="C5" s="4" t="n">
        <v>1394</v>
      </c>
      <c r="D5" s="4" t="n">
        <v>1456</v>
      </c>
      <c r="E5" s="4" t="n">
        <v>1438</v>
      </c>
      <c r="F5" s="4" t="n">
        <v>1537.5</v>
      </c>
      <c r="G5" s="4" t="n">
        <v>1656.9</v>
      </c>
      <c r="H5" s="4" t="n">
        <v>1677.4</v>
      </c>
      <c r="I5" s="4" t="n">
        <v>2257.1</v>
      </c>
      <c r="J5" s="4" t="n">
        <v>2510.4</v>
      </c>
      <c r="K5" s="4" t="n">
        <v>2636.2</v>
      </c>
      <c r="L5" s="4" t="n">
        <v>2521.2</v>
      </c>
      <c r="M5" s="4" t="n">
        <v>3136</v>
      </c>
      <c r="N5" s="4" t="n">
        <v>3055.5</v>
      </c>
      <c r="O5" s="4" t="n">
        <v>3122.2</v>
      </c>
      <c r="P5" s="4" t="n">
        <v>3405.9</v>
      </c>
      <c r="Q5" s="4" t="n">
        <v>3341.7</v>
      </c>
      <c r="R5" s="5" t="s">
        <v>11</v>
      </c>
    </row>
    <row r="6" customFormat="false" ht="15" hidden="false" customHeight="false" outlineLevel="0" collapsed="false">
      <c r="A6" s="0" t="s">
        <v>12</v>
      </c>
      <c r="B6" s="4" t="n">
        <v>-874.1</v>
      </c>
      <c r="C6" s="4" t="n">
        <v>-764.6</v>
      </c>
      <c r="D6" s="4" t="n">
        <v>-756</v>
      </c>
      <c r="E6" s="4" t="n">
        <v>-773</v>
      </c>
      <c r="F6" s="4" t="n">
        <v>-805.1</v>
      </c>
      <c r="G6" s="4" t="n">
        <v>-883.2</v>
      </c>
      <c r="H6" s="4" t="n">
        <v>-877.8</v>
      </c>
      <c r="I6" s="4" t="n">
        <v>-1308.6</v>
      </c>
      <c r="J6" s="4" t="n">
        <v>-1387.2</v>
      </c>
      <c r="K6" s="4" t="n">
        <v>-1376.8</v>
      </c>
      <c r="L6" s="4" t="n">
        <v>-1340.8</v>
      </c>
      <c r="M6" s="4" t="n">
        <v>-1550.2</v>
      </c>
      <c r="N6" s="4" t="n">
        <v>-1732.7</v>
      </c>
      <c r="O6" s="4" t="n">
        <v>-1706</v>
      </c>
      <c r="P6" s="4" t="n">
        <v>-1851.6</v>
      </c>
      <c r="Q6" s="4" t="n">
        <v>-1895.4</v>
      </c>
      <c r="R6" s="5" t="s">
        <v>13</v>
      </c>
    </row>
    <row r="7" customFormat="false" ht="15" hidden="false" customHeight="false" outlineLevel="0" collapsed="false">
      <c r="A7" s="0" t="s">
        <v>14</v>
      </c>
      <c r="B7" s="6" t="n">
        <f aca="false">B5+B6</f>
        <v>609.6</v>
      </c>
      <c r="C7" s="6" t="n">
        <f aca="false">C5+C6</f>
        <v>629.4</v>
      </c>
      <c r="D7" s="6" t="n">
        <f aca="false">D5+D6</f>
        <v>700</v>
      </c>
      <c r="E7" s="6" t="n">
        <f aca="false">E5+E6</f>
        <v>665</v>
      </c>
      <c r="F7" s="6" t="n">
        <f aca="false">F5+F6</f>
        <v>732.4</v>
      </c>
      <c r="G7" s="6" t="n">
        <f aca="false">G5+G6</f>
        <v>773.7</v>
      </c>
      <c r="H7" s="6" t="n">
        <f aca="false">H5+H6</f>
        <v>799.6</v>
      </c>
      <c r="I7" s="6" t="n">
        <f aca="false">I5+I6</f>
        <v>948.5</v>
      </c>
      <c r="J7" s="6" t="n">
        <f aca="false">J5+J6</f>
        <v>1123.2</v>
      </c>
      <c r="K7" s="6" t="n">
        <f aca="false">K5+K6</f>
        <v>1259.4</v>
      </c>
      <c r="L7" s="6" t="n">
        <f aca="false">L5+L6</f>
        <v>1180.4</v>
      </c>
      <c r="M7" s="6" t="n">
        <f aca="false">M5+M6</f>
        <v>1585.8</v>
      </c>
      <c r="N7" s="6" t="n">
        <f aca="false">N5+N6</f>
        <v>1322.8</v>
      </c>
      <c r="O7" s="6" t="n">
        <f aca="false">O5+O6</f>
        <v>1416.2</v>
      </c>
      <c r="P7" s="6" t="n">
        <f aca="false">P5+P6</f>
        <v>1554.3</v>
      </c>
      <c r="Q7" s="6" t="n">
        <f aca="false">Q5+Q6</f>
        <v>1446.3</v>
      </c>
      <c r="R7" s="5" t="s">
        <v>15</v>
      </c>
    </row>
    <row r="8" customFormat="false" ht="15" hidden="false" customHeight="false" outlineLevel="0" collapsed="false">
      <c r="A8" s="0" t="s">
        <v>16</v>
      </c>
      <c r="B8" s="4" t="n">
        <v>-1.8</v>
      </c>
      <c r="C8" s="4" t="n">
        <v>7</v>
      </c>
      <c r="D8" s="4" t="n">
        <v>3</v>
      </c>
      <c r="E8" s="4" t="n">
        <v>-7</v>
      </c>
      <c r="F8" s="4" t="n">
        <v>-4.8</v>
      </c>
      <c r="G8" s="4" t="n">
        <v>-6.6</v>
      </c>
      <c r="H8" s="4" t="n">
        <v>-0.6</v>
      </c>
      <c r="I8" s="4" t="n">
        <v>-13.3</v>
      </c>
      <c r="J8" s="4" t="n">
        <v>-11.2</v>
      </c>
      <c r="K8" s="4" t="n">
        <v>-10.7</v>
      </c>
      <c r="L8" s="4" t="n">
        <v>-22.8</v>
      </c>
      <c r="M8" s="4" t="n">
        <v>-12.1</v>
      </c>
      <c r="N8" s="4" t="n">
        <v>-12.1</v>
      </c>
      <c r="O8" s="4" t="n">
        <v>-2.6</v>
      </c>
      <c r="P8" s="4" t="n">
        <v>-9.8</v>
      </c>
      <c r="Q8" s="4" t="n">
        <v>-8.7</v>
      </c>
      <c r="R8" s="5" t="s">
        <v>13</v>
      </c>
    </row>
    <row r="9" customFormat="false" ht="15" hidden="false" customHeight="false" outlineLevel="0" collapsed="false">
      <c r="A9" s="0" t="s">
        <v>17</v>
      </c>
      <c r="B9" s="4" t="n">
        <v>3.5</v>
      </c>
      <c r="C9" s="4" t="n">
        <v>10.9</v>
      </c>
      <c r="D9" s="4" t="n">
        <v>10</v>
      </c>
      <c r="E9" s="4" t="n">
        <v>16</v>
      </c>
      <c r="F9" s="4" t="n">
        <v>16.9</v>
      </c>
      <c r="G9" s="4" t="n">
        <v>25.2</v>
      </c>
      <c r="H9" s="4" t="n">
        <v>28.5</v>
      </c>
      <c r="I9" s="4" t="n">
        <v>33.1</v>
      </c>
      <c r="J9" s="4" t="n">
        <v>49.7</v>
      </c>
      <c r="K9" s="4" t="n">
        <v>46.3</v>
      </c>
      <c r="L9" s="4" t="n">
        <v>66</v>
      </c>
      <c r="M9" s="4" t="n">
        <v>84.3</v>
      </c>
      <c r="N9" s="4" t="n">
        <v>88.2</v>
      </c>
      <c r="O9" s="4" t="n">
        <v>102</v>
      </c>
      <c r="P9" s="4" t="n">
        <v>123.3</v>
      </c>
      <c r="Q9" s="4" t="n">
        <v>201.3</v>
      </c>
      <c r="R9" s="5" t="s">
        <v>18</v>
      </c>
    </row>
    <row r="10" customFormat="false" ht="15" hidden="false" customHeight="false" outlineLevel="0" collapsed="false">
      <c r="A10" s="0" t="s">
        <v>19</v>
      </c>
      <c r="B10" s="4" t="n">
        <v>-1.6</v>
      </c>
      <c r="C10" s="4" t="n">
        <v>0.3</v>
      </c>
      <c r="D10" s="4" t="n">
        <v>0</v>
      </c>
      <c r="E10" s="4" t="n">
        <v>0</v>
      </c>
      <c r="F10" s="4" t="n">
        <v>0</v>
      </c>
      <c r="G10" s="4" t="n">
        <v>13.6</v>
      </c>
      <c r="H10" s="4" t="n">
        <v>0</v>
      </c>
      <c r="I10" s="4" t="n">
        <v>-1.3</v>
      </c>
      <c r="J10" s="4" t="n">
        <v>-0.1</v>
      </c>
      <c r="K10" s="4" t="n">
        <v>0</v>
      </c>
      <c r="L10" s="4" t="n">
        <v>0</v>
      </c>
      <c r="M10" s="4" t="n">
        <v>-0.1</v>
      </c>
      <c r="N10" s="4" t="n">
        <v>4</v>
      </c>
      <c r="O10" s="4" t="n">
        <v>-4.9</v>
      </c>
      <c r="P10" s="4" t="n">
        <v>0.1</v>
      </c>
      <c r="Q10" s="4" t="n">
        <v>402.4</v>
      </c>
      <c r="R10" s="5" t="s">
        <v>20</v>
      </c>
    </row>
    <row r="11" customFormat="false" ht="15" hidden="false" customHeight="false" outlineLevel="0" collapsed="false">
      <c r="A11" s="0" t="s">
        <v>21</v>
      </c>
      <c r="B11" s="6" t="n">
        <f aca="false">B7+B8+B9+B10</f>
        <v>609.7</v>
      </c>
      <c r="C11" s="6" t="n">
        <f aca="false">C7+C8+C9+C10</f>
        <v>647.6</v>
      </c>
      <c r="D11" s="6" t="n">
        <f aca="false">D7+D8+D9+D10</f>
        <v>713</v>
      </c>
      <c r="E11" s="6" t="n">
        <f aca="false">E7+E8+E9+E10</f>
        <v>674</v>
      </c>
      <c r="F11" s="6" t="n">
        <f aca="false">F7+F8+F9+F10</f>
        <v>744.5</v>
      </c>
      <c r="G11" s="6" t="n">
        <f aca="false">G7+G8+G9+G10</f>
        <v>805.9</v>
      </c>
      <c r="H11" s="6" t="n">
        <f aca="false">H7+H8+H9+H10</f>
        <v>827.5</v>
      </c>
      <c r="I11" s="6" t="n">
        <f aca="false">I7+I8+I9+I10</f>
        <v>967</v>
      </c>
      <c r="J11" s="6" t="n">
        <f aca="false">J7+J8+J9+J10</f>
        <v>1161.6</v>
      </c>
      <c r="K11" s="6" t="n">
        <f aca="false">K7+K8+K9+K10</f>
        <v>1295</v>
      </c>
      <c r="L11" s="6" t="n">
        <f aca="false">L7+L8+L9+L10</f>
        <v>1223.6</v>
      </c>
      <c r="M11" s="6" t="n">
        <f aca="false">M7+M8+M9+M10</f>
        <v>1657.9</v>
      </c>
      <c r="N11" s="6" t="n">
        <f aca="false">N7+N8+N9+N10</f>
        <v>1402.9</v>
      </c>
      <c r="O11" s="6" t="n">
        <f aca="false">O7+O8+O9+O10</f>
        <v>1510.7</v>
      </c>
      <c r="P11" s="6" t="n">
        <f aca="false">P7+P8+P9+P10</f>
        <v>1667.9</v>
      </c>
      <c r="Q11" s="6" t="n">
        <f aca="false">Q7+Q8+Q9+Q10</f>
        <v>2041.3</v>
      </c>
      <c r="R11" s="5" t="s">
        <v>22</v>
      </c>
    </row>
    <row r="12" customFormat="false" ht="15" hidden="false" customHeight="false" outlineLevel="0" collapsed="false">
      <c r="A12" s="0" t="s">
        <v>23</v>
      </c>
      <c r="B12" s="4" t="n">
        <v>-205.2</v>
      </c>
      <c r="C12" s="4" t="n">
        <v>-223.8</v>
      </c>
      <c r="D12" s="4" t="n">
        <v>-226</v>
      </c>
      <c r="E12" s="4" t="n">
        <v>-222</v>
      </c>
      <c r="F12" s="4" t="n">
        <v>-254</v>
      </c>
      <c r="G12" s="4" t="n">
        <v>-286</v>
      </c>
      <c r="H12" s="4" t="n">
        <v>-258.4</v>
      </c>
      <c r="I12" s="4" t="n">
        <v>-285.9</v>
      </c>
      <c r="J12" s="4" t="n">
        <v>-306.8</v>
      </c>
      <c r="K12" s="4" t="n">
        <v>-335.7</v>
      </c>
      <c r="L12" s="4" t="n">
        <v>-316.6</v>
      </c>
      <c r="M12" s="4" t="n">
        <v>-291.8</v>
      </c>
      <c r="N12" s="4" t="n">
        <v>-328.7</v>
      </c>
      <c r="O12" s="4" t="n">
        <v>-350.8</v>
      </c>
      <c r="P12" s="4" t="n">
        <v>-365.5</v>
      </c>
      <c r="Q12" s="4" t="n">
        <v>-452</v>
      </c>
      <c r="R12" s="5" t="s">
        <v>24</v>
      </c>
    </row>
    <row r="13" customFormat="false" ht="15" hidden="false" customHeight="false" outlineLevel="0" collapsed="false">
      <c r="A13" s="0" t="s">
        <v>25</v>
      </c>
      <c r="B13" s="6" t="n">
        <f aca="false">B11+B12</f>
        <v>404.5</v>
      </c>
      <c r="C13" s="6" t="n">
        <f aca="false">C11+C12</f>
        <v>423.8</v>
      </c>
      <c r="D13" s="6" t="n">
        <f aca="false">D11+D12</f>
        <v>487</v>
      </c>
      <c r="E13" s="6" t="n">
        <f aca="false">E11+E12</f>
        <v>452</v>
      </c>
      <c r="F13" s="6" t="n">
        <f aca="false">F11+F12</f>
        <v>490.5</v>
      </c>
      <c r="G13" s="6" t="n">
        <f aca="false">G11+G12</f>
        <v>519.9</v>
      </c>
      <c r="H13" s="6" t="n">
        <f aca="false">H11+H12</f>
        <v>569.1</v>
      </c>
      <c r="I13" s="6" t="n">
        <f aca="false">I11+I12</f>
        <v>681.1</v>
      </c>
      <c r="J13" s="6" t="n">
        <f aca="false">J11+J12</f>
        <v>854.8</v>
      </c>
      <c r="K13" s="6" t="n">
        <f aca="false">K11+K12</f>
        <v>959.3</v>
      </c>
      <c r="L13" s="6" t="n">
        <f aca="false">L11+L12</f>
        <v>907</v>
      </c>
      <c r="M13" s="6" t="n">
        <f aca="false">M11+M12</f>
        <v>1366.1</v>
      </c>
      <c r="N13" s="6" t="n">
        <f aca="false">N11+N12</f>
        <v>1074.2</v>
      </c>
      <c r="O13" s="6" t="n">
        <f aca="false">O11+O12</f>
        <v>1159.9</v>
      </c>
      <c r="P13" s="6" t="n">
        <f aca="false">P11+P12</f>
        <v>1302.4</v>
      </c>
      <c r="Q13" s="6" t="n">
        <f aca="false">Q11+Q12</f>
        <v>1589.3</v>
      </c>
      <c r="R13" s="5" t="s">
        <v>22</v>
      </c>
    </row>
    <row r="14" customFormat="false" ht="15" hidden="false" customHeight="false" outlineLevel="0" collapsed="false">
      <c r="A14" s="0" t="s">
        <v>26</v>
      </c>
      <c r="B14" s="4" t="n">
        <v>403.9</v>
      </c>
      <c r="C14" s="4" t="n">
        <v>422.6</v>
      </c>
      <c r="D14" s="4" t="n">
        <v>486</v>
      </c>
      <c r="E14" s="4" t="n">
        <v>451</v>
      </c>
      <c r="F14" s="4" t="n">
        <v>489.7</v>
      </c>
      <c r="G14" s="4" t="n">
        <v>518.6</v>
      </c>
      <c r="H14" s="4" t="n">
        <v>568.3</v>
      </c>
      <c r="I14" s="4" t="n">
        <v>681.3</v>
      </c>
      <c r="J14" s="4" t="n">
        <v>855</v>
      </c>
      <c r="K14" s="4" t="n">
        <v>959.3</v>
      </c>
      <c r="L14" s="4" t="n">
        <v>909.8</v>
      </c>
      <c r="M14" s="4" t="n">
        <v>1369.5</v>
      </c>
      <c r="N14" s="4" t="n">
        <v>1073.7</v>
      </c>
      <c r="O14" s="4" t="n">
        <v>1164.9</v>
      </c>
      <c r="P14" s="4" t="n">
        <v>1305.1</v>
      </c>
      <c r="Q14" s="4" t="n">
        <v>1592.2</v>
      </c>
      <c r="R14" s="5" t="s">
        <v>27</v>
      </c>
    </row>
    <row r="15" customFormat="false" ht="15" hidden="false" customHeight="false" outlineLevel="0" collapsed="false">
      <c r="A15" s="0" t="s">
        <v>28</v>
      </c>
      <c r="B15" s="7" t="n">
        <f aca="false">-B6/B5</f>
        <v>0.589135269933275</v>
      </c>
      <c r="C15" s="7" t="n">
        <f aca="false">-C6/C5</f>
        <v>0.548493543758967</v>
      </c>
      <c r="D15" s="7" t="n">
        <f aca="false">-D6/D5</f>
        <v>0.519230769230769</v>
      </c>
      <c r="E15" s="7" t="n">
        <f aca="false">-E6/E5</f>
        <v>0.537552155771905</v>
      </c>
      <c r="F15" s="7" t="n">
        <f aca="false">-F6/F5</f>
        <v>0.523642276422764</v>
      </c>
      <c r="G15" s="7" t="n">
        <f aca="false">-G6/G5</f>
        <v>0.533043635705233</v>
      </c>
      <c r="H15" s="7" t="n">
        <f aca="false">-H6/H5</f>
        <v>0.523309884344819</v>
      </c>
      <c r="I15" s="7" t="n">
        <f aca="false">-I6/I5</f>
        <v>0.579770501971556</v>
      </c>
      <c r="J15" s="7" t="n">
        <f aca="false">-J6/J5</f>
        <v>0.552581261950287</v>
      </c>
      <c r="K15" s="7" t="n">
        <f aca="false">-K6/K5</f>
        <v>0.522266899324786</v>
      </c>
      <c r="L15" s="7" t="n">
        <f aca="false">-L6/L5</f>
        <v>0.531810249087736</v>
      </c>
      <c r="M15" s="7" t="n">
        <f aca="false">-M6/M5</f>
        <v>0.494323979591837</v>
      </c>
      <c r="N15" s="7" t="n">
        <f aca="false">-N6/N5</f>
        <v>0.567075765013909</v>
      </c>
      <c r="O15" s="7" t="n">
        <f aca="false">-O6/O5</f>
        <v>0.546409582986356</v>
      </c>
      <c r="P15" s="7" t="n">
        <f aca="false">-P6/P5</f>
        <v>0.54364485158108</v>
      </c>
      <c r="Q15" s="7" t="n">
        <f aca="false">-Q6/Q5</f>
        <v>0.567196337193644</v>
      </c>
      <c r="R15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7" min="2" style="0" width="9"/>
    <col collapsed="false" customWidth="true" hidden="false" outlineLevel="0" max="18" min="18" style="0" width="70"/>
  </cols>
  <sheetData>
    <row r="1" customFormat="false" ht="16.15" hidden="false" customHeight="false" outlineLevel="0" collapsed="false">
      <c r="A1" s="2" t="s">
        <v>30</v>
      </c>
    </row>
    <row r="2" customFormat="false" ht="15" hidden="false" customHeight="false" outlineLevel="0" collapsed="false">
      <c r="A2" s="0" t="s">
        <v>31</v>
      </c>
    </row>
    <row r="4" customFormat="false" ht="15" hidden="false" customHeight="false" outlineLevel="0" collapsed="false">
      <c r="A4" s="3" t="s">
        <v>8</v>
      </c>
      <c r="B4" s="3" t="n">
        <v>2010</v>
      </c>
      <c r="C4" s="3" t="n">
        <v>2011</v>
      </c>
      <c r="D4" s="3" t="n">
        <v>2012</v>
      </c>
      <c r="E4" s="3" t="n">
        <v>2013</v>
      </c>
      <c r="F4" s="3" t="n">
        <v>2014</v>
      </c>
      <c r="G4" s="3" t="n">
        <v>2015</v>
      </c>
      <c r="H4" s="3" t="n">
        <v>2016</v>
      </c>
      <c r="I4" s="3" t="n">
        <v>2017</v>
      </c>
      <c r="J4" s="3" t="n">
        <v>2018</v>
      </c>
      <c r="K4" s="3" t="n">
        <v>2019</v>
      </c>
      <c r="L4" s="3" t="n">
        <v>2020</v>
      </c>
      <c r="M4" s="3" t="n">
        <v>2021</v>
      </c>
      <c r="N4" s="3" t="n">
        <v>2022</v>
      </c>
      <c r="O4" s="3" t="n">
        <v>2023</v>
      </c>
      <c r="P4" s="3" t="n">
        <v>2024</v>
      </c>
      <c r="Q4" s="3" t="n">
        <v>2025</v>
      </c>
      <c r="R4" s="3" t="s">
        <v>9</v>
      </c>
    </row>
    <row r="5" customFormat="false" ht="15" hidden="false" customHeight="false" outlineLevel="0" collapsed="false">
      <c r="A5" s="0" t="s">
        <v>32</v>
      </c>
      <c r="B5" s="4" t="n">
        <v>1359</v>
      </c>
      <c r="C5" s="4" t="n">
        <v>1315</v>
      </c>
      <c r="D5" s="4" t="n">
        <v>1211</v>
      </c>
      <c r="E5" s="4" t="n">
        <v>1238</v>
      </c>
      <c r="F5" s="4" t="n">
        <v>1322</v>
      </c>
      <c r="G5" s="4" t="n">
        <v>1466</v>
      </c>
      <c r="H5" s="4" t="n">
        <v>1510</v>
      </c>
      <c r="I5" s="4" t="n">
        <v>2029</v>
      </c>
      <c r="J5" s="4" t="n">
        <v>2491</v>
      </c>
      <c r="K5" s="4" t="n">
        <v>2493</v>
      </c>
      <c r="L5" s="4" t="n">
        <v>2434</v>
      </c>
      <c r="M5" s="4" t="n">
        <v>2757</v>
      </c>
      <c r="N5" s="4" t="n">
        <v>2965</v>
      </c>
      <c r="O5" s="4" t="n">
        <v>2940</v>
      </c>
      <c r="P5" s="4" t="n">
        <v>3184</v>
      </c>
      <c r="Q5" s="4" t="n">
        <v>3052</v>
      </c>
      <c r="R5" s="5" t="s">
        <v>33</v>
      </c>
    </row>
    <row r="6" customFormat="false" ht="15" hidden="false" customHeight="false" outlineLevel="0" collapsed="false">
      <c r="A6" s="0" t="s">
        <v>34</v>
      </c>
      <c r="B6" s="4" t="n">
        <v>138</v>
      </c>
      <c r="C6" s="4" t="n">
        <v>72</v>
      </c>
      <c r="D6" s="4" t="n">
        <v>166</v>
      </c>
      <c r="E6" s="4" t="n">
        <v>162</v>
      </c>
      <c r="F6" s="4" t="n">
        <v>170</v>
      </c>
      <c r="G6" s="4" t="n">
        <v>138</v>
      </c>
      <c r="H6" s="4" t="n">
        <v>115</v>
      </c>
      <c r="I6" s="4" t="n">
        <v>175</v>
      </c>
      <c r="J6" s="4" t="n">
        <v>115</v>
      </c>
      <c r="K6" s="4" t="n">
        <v>171</v>
      </c>
      <c r="L6" s="4" t="n">
        <v>200</v>
      </c>
      <c r="M6" s="4" t="n">
        <v>427</v>
      </c>
      <c r="N6" s="4" t="n">
        <v>171</v>
      </c>
      <c r="O6" s="4" t="n">
        <v>123</v>
      </c>
      <c r="P6" s="4" t="n">
        <v>145</v>
      </c>
      <c r="Q6" s="4" t="n">
        <v>173</v>
      </c>
      <c r="R6" s="5" t="s">
        <v>35</v>
      </c>
    </row>
    <row r="7" customFormat="false" ht="15" hidden="false" customHeight="false" outlineLevel="0" collapsed="false">
      <c r="A7" s="0" t="s">
        <v>36</v>
      </c>
      <c r="M7" s="4" t="n">
        <v>36</v>
      </c>
      <c r="N7" s="4" t="n">
        <v>48</v>
      </c>
      <c r="O7" s="4" t="n">
        <v>60</v>
      </c>
      <c r="P7" s="4" t="n">
        <v>80</v>
      </c>
      <c r="Q7" s="4" t="n">
        <v>116</v>
      </c>
      <c r="R7" s="5" t="s">
        <v>37</v>
      </c>
    </row>
    <row r="8" customFormat="false" ht="15" hidden="false" customHeight="false" outlineLevel="0" collapsed="false">
      <c r="A8" s="0" t="s">
        <v>38</v>
      </c>
      <c r="H8" s="4" t="n">
        <v>1694</v>
      </c>
      <c r="I8" s="4" t="n">
        <v>2301</v>
      </c>
      <c r="J8" s="4" t="n">
        <v>2582</v>
      </c>
      <c r="K8" s="4" t="n">
        <v>2707</v>
      </c>
      <c r="L8" s="4" t="n">
        <v>2595</v>
      </c>
      <c r="M8" s="4" t="n">
        <v>3204</v>
      </c>
      <c r="N8" s="4" t="n">
        <v>3137</v>
      </c>
      <c r="O8" s="4" t="n">
        <v>3204</v>
      </c>
      <c r="P8" s="4" t="n">
        <v>3497</v>
      </c>
      <c r="Q8" s="4" t="n">
        <v>3417</v>
      </c>
      <c r="R8" s="5" t="s">
        <v>39</v>
      </c>
    </row>
    <row r="9" customFormat="false" ht="15" hidden="false" customHeight="false" outlineLevel="0" collapsed="false">
      <c r="A9" s="0" t="s">
        <v>40</v>
      </c>
      <c r="H9" s="4" t="n">
        <v>-878</v>
      </c>
      <c r="I9" s="4" t="n">
        <v>-1173</v>
      </c>
      <c r="J9" s="4" t="n">
        <v>-1331</v>
      </c>
      <c r="K9" s="4" t="n">
        <v>-1377</v>
      </c>
      <c r="L9" s="4" t="n">
        <v>-1341</v>
      </c>
      <c r="M9" s="4" t="n">
        <v>-1534</v>
      </c>
      <c r="N9" s="4" t="n">
        <v>-1671</v>
      </c>
      <c r="O9" s="4" t="n">
        <v>-1706</v>
      </c>
      <c r="P9" s="4" t="n">
        <v>-1837</v>
      </c>
      <c r="Q9" s="4" t="n">
        <v>-1781</v>
      </c>
      <c r="R9" s="5" t="s">
        <v>41</v>
      </c>
    </row>
    <row r="10" customFormat="false" ht="15" hidden="false" customHeight="false" outlineLevel="0" collapsed="false">
      <c r="A10" s="0" t="s">
        <v>42</v>
      </c>
      <c r="B10" s="4" t="n">
        <v>413</v>
      </c>
      <c r="C10" s="4" t="n">
        <v>423</v>
      </c>
      <c r="D10" s="4" t="n">
        <v>427</v>
      </c>
      <c r="E10" s="4" t="n">
        <v>451</v>
      </c>
      <c r="F10" s="4" t="n">
        <v>490</v>
      </c>
      <c r="G10" s="4" t="n">
        <v>528</v>
      </c>
      <c r="H10" s="4" t="n">
        <v>579</v>
      </c>
      <c r="I10" s="4" t="n">
        <v>800</v>
      </c>
      <c r="J10" s="4" t="n">
        <v>946</v>
      </c>
      <c r="K10" s="4" t="n">
        <v>1009</v>
      </c>
      <c r="L10" s="4" t="n">
        <v>962</v>
      </c>
      <c r="M10" s="4" t="n">
        <v>1315</v>
      </c>
      <c r="N10" s="4" t="n">
        <v>1178</v>
      </c>
      <c r="O10" s="4" t="n">
        <v>1224</v>
      </c>
      <c r="P10" s="4" t="n">
        <v>1382</v>
      </c>
      <c r="Q10" s="4" t="n">
        <v>1354</v>
      </c>
      <c r="R10" s="5" t="s">
        <v>43</v>
      </c>
    </row>
    <row r="11" customFormat="false" ht="15" hidden="false" customHeight="false" outlineLevel="0" collapsed="false">
      <c r="A11" s="0" t="s">
        <v>44</v>
      </c>
      <c r="B11" s="7" t="str">
        <f aca="false">IFERROR(-B9/B8,"")</f>
        <v/>
      </c>
      <c r="C11" s="7" t="str">
        <f aca="false">IFERROR(-C9/C8,"")</f>
        <v/>
      </c>
      <c r="D11" s="7" t="str">
        <f aca="false">IFERROR(-D9/D8,"")</f>
        <v/>
      </c>
      <c r="E11" s="7" t="str">
        <f aca="false">IFERROR(-E9/E8,"")</f>
        <v/>
      </c>
      <c r="F11" s="7" t="str">
        <f aca="false">IFERROR(-F9/F8,"")</f>
        <v/>
      </c>
      <c r="G11" s="7" t="str">
        <f aca="false">IFERROR(-G9/G8,"")</f>
        <v/>
      </c>
      <c r="H11" s="7" t="n">
        <f aca="false">IFERROR(-H9/H8,"")</f>
        <v>0.518299881936246</v>
      </c>
      <c r="I11" s="7" t="n">
        <f aca="false">IFERROR(-I9/I8,"")</f>
        <v>0.509778357235984</v>
      </c>
      <c r="J11" s="7" t="n">
        <f aca="false">IFERROR(-J9/J8,"")</f>
        <v>0.515491866769946</v>
      </c>
      <c r="K11" s="7" t="n">
        <f aca="false">IFERROR(-K9/K8,"")</f>
        <v>0.508681196896934</v>
      </c>
      <c r="L11" s="7" t="n">
        <f aca="false">IFERROR(-L9/L8,"")</f>
        <v>0.516763005780347</v>
      </c>
      <c r="M11" s="7" t="n">
        <f aca="false">IFERROR(-M9/M8,"")</f>
        <v>0.478776529338327</v>
      </c>
      <c r="N11" s="7" t="n">
        <f aca="false">IFERROR(-N9/N8,"")</f>
        <v>0.532674529805547</v>
      </c>
      <c r="O11" s="7" t="n">
        <f aca="false">IFERROR(-O9/O8,"")</f>
        <v>0.532459425717853</v>
      </c>
      <c r="P11" s="7" t="n">
        <f aca="false">IFERROR(-P9/P8,"")</f>
        <v>0.525307406348299</v>
      </c>
      <c r="Q11" s="7" t="n">
        <f aca="false">IFERROR(-Q9/Q8,"")</f>
        <v>0.521217442200761</v>
      </c>
      <c r="R11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7" min="2" style="0" width="9"/>
    <col collapsed="false" customWidth="true" hidden="false" outlineLevel="0" max="18" min="18" style="0" width="70"/>
  </cols>
  <sheetData>
    <row r="1" customFormat="false" ht="16.15" hidden="false" customHeight="false" outlineLevel="0" collapsed="false">
      <c r="A1" s="2" t="s">
        <v>45</v>
      </c>
    </row>
    <row r="2" customFormat="false" ht="15" hidden="false" customHeight="false" outlineLevel="0" collapsed="false">
      <c r="A2" s="0" t="s">
        <v>46</v>
      </c>
    </row>
    <row r="4" customFormat="false" ht="15" hidden="false" customHeight="false" outlineLevel="0" collapsed="false">
      <c r="A4" s="3" t="s">
        <v>8</v>
      </c>
      <c r="B4" s="3" t="n">
        <v>2010</v>
      </c>
      <c r="C4" s="3" t="n">
        <v>2011</v>
      </c>
      <c r="D4" s="3" t="n">
        <v>2012</v>
      </c>
      <c r="E4" s="3" t="n">
        <v>2013</v>
      </c>
      <c r="F4" s="3" t="n">
        <v>2014</v>
      </c>
      <c r="G4" s="3" t="n">
        <v>2015</v>
      </c>
      <c r="H4" s="3" t="n">
        <v>2016</v>
      </c>
      <c r="I4" s="3" t="n">
        <v>2017</v>
      </c>
      <c r="J4" s="3" t="n">
        <v>2018</v>
      </c>
      <c r="K4" s="3" t="n">
        <v>2019</v>
      </c>
      <c r="L4" s="3" t="n">
        <v>2020</v>
      </c>
      <c r="M4" s="3" t="n">
        <v>2021</v>
      </c>
      <c r="N4" s="3" t="n">
        <v>2022</v>
      </c>
      <c r="O4" s="3" t="n">
        <v>2023</v>
      </c>
      <c r="P4" s="3" t="n">
        <v>2024</v>
      </c>
      <c r="Q4" s="3" t="n">
        <v>2025</v>
      </c>
      <c r="R4" s="3" t="s">
        <v>9</v>
      </c>
    </row>
    <row r="5" customFormat="false" ht="15" hidden="false" customHeight="false" outlineLevel="0" collapsed="false">
      <c r="A5" s="0" t="s">
        <v>47</v>
      </c>
      <c r="B5" s="4" t="n">
        <v>710.3</v>
      </c>
      <c r="C5" s="4" t="n">
        <v>658.6</v>
      </c>
      <c r="D5" s="4" t="n">
        <v>748.5</v>
      </c>
      <c r="E5" s="4" t="n">
        <v>792</v>
      </c>
      <c r="F5" s="4" t="n">
        <v>877.6</v>
      </c>
      <c r="G5" s="4" t="n">
        <v>985</v>
      </c>
      <c r="H5" s="4" t="n">
        <v>1083</v>
      </c>
      <c r="I5" s="4" t="n">
        <v>1426</v>
      </c>
      <c r="J5" s="4" t="n">
        <v>1425</v>
      </c>
      <c r="K5" s="4" t="n">
        <v>1653</v>
      </c>
      <c r="L5" s="4" t="n">
        <v>1729</v>
      </c>
      <c r="M5" s="4" t="n">
        <v>2064</v>
      </c>
      <c r="N5" s="4" t="n">
        <v>1904</v>
      </c>
      <c r="O5" s="4" t="n">
        <v>2037</v>
      </c>
      <c r="P5" s="4" t="n">
        <v>2240</v>
      </c>
      <c r="Q5" s="4" t="n">
        <v>2380</v>
      </c>
      <c r="R5" s="5" t="s">
        <v>48</v>
      </c>
    </row>
    <row r="6" customFormat="false" ht="15" hidden="false" customHeight="false" outlineLevel="0" collapsed="false">
      <c r="A6" s="0" t="s">
        <v>49</v>
      </c>
      <c r="D6" s="4" t="n">
        <v>21.6</v>
      </c>
      <c r="E6" s="4" t="n">
        <v>25.8</v>
      </c>
      <c r="F6" s="4" t="n">
        <v>38</v>
      </c>
      <c r="G6" s="4" t="n">
        <v>73</v>
      </c>
      <c r="H6" s="4" t="n">
        <v>99</v>
      </c>
      <c r="I6" s="4" t="n">
        <v>118</v>
      </c>
      <c r="J6" s="4" t="n">
        <v>142</v>
      </c>
      <c r="K6" s="4" t="n">
        <v>234</v>
      </c>
      <c r="L6" s="4" t="n">
        <v>239</v>
      </c>
      <c r="M6" s="4" t="n">
        <v>286</v>
      </c>
      <c r="N6" s="4" t="n">
        <v>296</v>
      </c>
      <c r="O6" s="4" t="n">
        <v>316</v>
      </c>
      <c r="P6" s="4" t="n">
        <v>372</v>
      </c>
      <c r="Q6" s="4" t="n">
        <v>364</v>
      </c>
      <c r="R6" s="5" t="s">
        <v>50</v>
      </c>
    </row>
    <row r="7" customFormat="false" ht="15" hidden="false" customHeight="false" outlineLevel="0" collapsed="false">
      <c r="A7" s="0" t="s">
        <v>51</v>
      </c>
      <c r="B7" s="8" t="str">
        <f aca="false">IF(B6="","",B5-B6)</f>
        <v/>
      </c>
      <c r="C7" s="8" t="str">
        <f aca="false">IF(C6="","",C5-C6)</f>
        <v/>
      </c>
      <c r="D7" s="8" t="n">
        <f aca="false">IF(D6="","",D5-D6)</f>
        <v>726.9</v>
      </c>
      <c r="E7" s="8" t="n">
        <f aca="false">IF(E6="","",E5-E6)</f>
        <v>766.2</v>
      </c>
      <c r="F7" s="8" t="n">
        <f aca="false">IF(F6="","",F5-F6)</f>
        <v>839.6</v>
      </c>
      <c r="G7" s="8" t="n">
        <f aca="false">IF(G6="","",G5-G6)</f>
        <v>912</v>
      </c>
      <c r="H7" s="8" t="n">
        <f aca="false">IF(H6="","",H5-H6)</f>
        <v>984</v>
      </c>
      <c r="I7" s="8" t="n">
        <f aca="false">IF(I6="","",I5-I6)</f>
        <v>1308</v>
      </c>
      <c r="J7" s="8" t="n">
        <f aca="false">IF(J6="","",J5-J6)</f>
        <v>1283</v>
      </c>
      <c r="K7" s="8" t="n">
        <f aca="false">IF(K6="","",K5-K6)</f>
        <v>1419</v>
      </c>
      <c r="L7" s="8" t="n">
        <f aca="false">IF(L6="","",L5-L6)</f>
        <v>1490</v>
      </c>
      <c r="M7" s="8" t="n">
        <f aca="false">IF(M6="","",M5-M6)</f>
        <v>1778</v>
      </c>
      <c r="N7" s="8" t="n">
        <f aca="false">IF(N6="","",N5-N6)</f>
        <v>1608</v>
      </c>
      <c r="O7" s="8" t="n">
        <f aca="false">IF(O6="","",O5-O6)</f>
        <v>1721</v>
      </c>
      <c r="P7" s="8" t="n">
        <f aca="false">IF(P6="","",P5-P6)</f>
        <v>1868</v>
      </c>
      <c r="Q7" s="8" t="n">
        <f aca="false">IF(Q6="","",Q5-Q6)</f>
        <v>2016</v>
      </c>
      <c r="R7" s="5" t="s">
        <v>22</v>
      </c>
    </row>
    <row r="8" customFormat="false" ht="15" hidden="false" customHeight="false" outlineLevel="0" collapsed="false">
      <c r="A8" s="0" t="s">
        <v>52</v>
      </c>
      <c r="B8" s="4" t="n">
        <v>1.2</v>
      </c>
      <c r="C8" s="4" t="n">
        <v>-35</v>
      </c>
      <c r="D8" s="4" t="n">
        <v>17.6</v>
      </c>
      <c r="E8" s="4" t="n">
        <v>11.1</v>
      </c>
      <c r="F8" s="4" t="n">
        <v>32.5</v>
      </c>
      <c r="G8" s="4" t="n">
        <v>79.9</v>
      </c>
      <c r="H8" s="4" t="n">
        <v>62.2</v>
      </c>
      <c r="I8" s="4" t="n">
        <v>70.6</v>
      </c>
      <c r="J8" s="4" t="n">
        <v>42</v>
      </c>
      <c r="K8" s="4" t="n">
        <v>107.7</v>
      </c>
      <c r="L8" s="4" t="n">
        <v>45.1</v>
      </c>
      <c r="M8" s="4" t="n">
        <v>60.2</v>
      </c>
      <c r="N8" s="4" t="n">
        <v>7</v>
      </c>
      <c r="O8" s="4" t="n">
        <v>25.8</v>
      </c>
      <c r="P8" s="4" t="n">
        <v>55.4</v>
      </c>
      <c r="Q8" s="4" t="n">
        <v>87.6</v>
      </c>
      <c r="R8" s="5" t="s">
        <v>53</v>
      </c>
    </row>
    <row r="9" customFormat="false" ht="15" hidden="false" customHeight="false" outlineLevel="0" collapsed="false">
      <c r="A9" s="0" t="s">
        <v>54</v>
      </c>
      <c r="C9" s="7" t="n">
        <f aca="false">C8/B5</f>
        <v>-0.0492749542446853</v>
      </c>
      <c r="D9" s="7" t="n">
        <f aca="false">D8/C5</f>
        <v>0.0267233525660492</v>
      </c>
      <c r="E9" s="7" t="n">
        <f aca="false">E8/D5</f>
        <v>0.0148296593186373</v>
      </c>
      <c r="F9" s="7" t="n">
        <f aca="false">F8/E5</f>
        <v>0.0410353535353535</v>
      </c>
      <c r="G9" s="7" t="n">
        <f aca="false">G8/F5</f>
        <v>0.0910437556973564</v>
      </c>
      <c r="H9" s="7" t="n">
        <f aca="false">H8/G5</f>
        <v>0.0631472081218274</v>
      </c>
      <c r="I9" s="7" t="n">
        <f aca="false">I8/H5</f>
        <v>0.0651892890120037</v>
      </c>
      <c r="J9" s="7" t="n">
        <f aca="false">J8/I5</f>
        <v>0.02945301542777</v>
      </c>
      <c r="K9" s="7" t="n">
        <f aca="false">K8/J5</f>
        <v>0.0755789473684211</v>
      </c>
      <c r="L9" s="7" t="n">
        <f aca="false">L8/K5</f>
        <v>0.0272837265577737</v>
      </c>
      <c r="M9" s="7" t="n">
        <f aca="false">M8/L5</f>
        <v>0.0348178137651822</v>
      </c>
      <c r="N9" s="7" t="n">
        <f aca="false">N8/M5</f>
        <v>0.00339147286821705</v>
      </c>
      <c r="O9" s="7" t="n">
        <f aca="false">O8/N5</f>
        <v>0.0135504201680672</v>
      </c>
      <c r="P9" s="7" t="n">
        <f aca="false">P8/O5</f>
        <v>0.0271968581246932</v>
      </c>
      <c r="Q9" s="7" t="n">
        <f aca="false">Q8/P5</f>
        <v>0.0391071428571429</v>
      </c>
      <c r="R9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7" min="2" style="0" width="9"/>
    <col collapsed="false" customWidth="true" hidden="false" outlineLevel="0" max="18" min="18" style="0" width="70"/>
  </cols>
  <sheetData>
    <row r="1" customFormat="false" ht="16.15" hidden="false" customHeight="false" outlineLevel="0" collapsed="false">
      <c r="A1" s="2" t="s">
        <v>55</v>
      </c>
    </row>
    <row r="2" customFormat="false" ht="15" hidden="false" customHeight="false" outlineLevel="0" collapsed="false">
      <c r="A2" s="0" t="s">
        <v>56</v>
      </c>
    </row>
    <row r="4" customFormat="false" ht="15" hidden="false" customHeight="false" outlineLevel="0" collapsed="false">
      <c r="A4" s="3" t="s">
        <v>8</v>
      </c>
      <c r="B4" s="3" t="n">
        <v>2010</v>
      </c>
      <c r="C4" s="3" t="n">
        <v>2011</v>
      </c>
      <c r="D4" s="3" t="n">
        <v>2012</v>
      </c>
      <c r="E4" s="3" t="n">
        <v>2013</v>
      </c>
      <c r="F4" s="3" t="n">
        <v>2014</v>
      </c>
      <c r="G4" s="3" t="n">
        <v>2015</v>
      </c>
      <c r="H4" s="3" t="n">
        <v>2016</v>
      </c>
      <c r="I4" s="3" t="n">
        <v>2017</v>
      </c>
      <c r="J4" s="3" t="n">
        <v>2018</v>
      </c>
      <c r="K4" s="3" t="n">
        <v>2019</v>
      </c>
      <c r="L4" s="3" t="n">
        <v>2020</v>
      </c>
      <c r="M4" s="3" t="n">
        <v>2021</v>
      </c>
      <c r="N4" s="3" t="n">
        <v>2022</v>
      </c>
      <c r="O4" s="3" t="n">
        <v>2023</v>
      </c>
      <c r="P4" s="3" t="n">
        <v>2024</v>
      </c>
      <c r="Q4" s="3" t="n">
        <v>2025</v>
      </c>
      <c r="R4" s="3" t="s">
        <v>9</v>
      </c>
    </row>
    <row r="5" customFormat="false" ht="15" hidden="false" customHeight="false" outlineLevel="0" collapsed="false">
      <c r="A5" s="0" t="s">
        <v>57</v>
      </c>
      <c r="B5" s="4" t="n">
        <v>5248.7</v>
      </c>
      <c r="C5" s="4" t="n">
        <v>5418</v>
      </c>
      <c r="D5" s="4" t="n">
        <v>5687</v>
      </c>
      <c r="E5" s="4" t="n">
        <v>5816</v>
      </c>
      <c r="F5" s="4" t="n">
        <v>6123.3</v>
      </c>
      <c r="G5" s="4" t="n">
        <v>6406.8</v>
      </c>
      <c r="H5" s="4" t="n">
        <v>6644.4</v>
      </c>
      <c r="I5" s="4" t="n">
        <v>8203</v>
      </c>
      <c r="J5" s="4" t="n">
        <v>8528.1</v>
      </c>
      <c r="K5" s="4" t="n">
        <v>8900</v>
      </c>
      <c r="L5" s="4" t="n">
        <v>9695.2</v>
      </c>
      <c r="M5" s="4" t="n">
        <v>10670.8</v>
      </c>
      <c r="N5" s="4" t="n">
        <v>11025.8</v>
      </c>
      <c r="O5" s="4" t="n">
        <v>11369.1</v>
      </c>
      <c r="P5" s="4" t="n">
        <v>12002.6</v>
      </c>
      <c r="Q5" s="4" t="n">
        <v>12655.3</v>
      </c>
      <c r="R5" s="5" t="s">
        <v>58</v>
      </c>
    </row>
    <row r="6" customFormat="false" ht="15" hidden="false" customHeight="false" outlineLevel="0" collapsed="false">
      <c r="A6" s="0" t="s">
        <v>59</v>
      </c>
      <c r="B6" s="4" t="n">
        <v>2885.8</v>
      </c>
      <c r="C6" s="4" t="n">
        <v>2886.5</v>
      </c>
      <c r="D6" s="4" t="n">
        <v>2876</v>
      </c>
      <c r="E6" s="4" t="n">
        <v>2894</v>
      </c>
      <c r="F6" s="4" t="n">
        <v>2913.9</v>
      </c>
      <c r="G6" s="4" t="n">
        <v>2998.5</v>
      </c>
      <c r="H6" s="4" t="n">
        <v>3161.5</v>
      </c>
      <c r="I6" s="4" t="n">
        <v>5674</v>
      </c>
      <c r="J6" s="4" t="n">
        <v>5695.5</v>
      </c>
      <c r="K6" s="4" t="n">
        <v>5711.7</v>
      </c>
      <c r="L6" s="4" t="n">
        <v>5995.6</v>
      </c>
      <c r="M6" s="4" t="n">
        <v>6703.6</v>
      </c>
      <c r="N6" s="4" t="n">
        <v>6731.2</v>
      </c>
      <c r="O6" s="4" t="n">
        <v>6707.7</v>
      </c>
      <c r="P6" s="4" t="n">
        <v>6572.2</v>
      </c>
      <c r="Q6" s="4" t="n">
        <v>6560.6</v>
      </c>
    </row>
    <row r="7" customFormat="false" ht="15" hidden="false" customHeight="false" outlineLevel="0" collapsed="false">
      <c r="A7" s="0" t="s">
        <v>60</v>
      </c>
      <c r="B7" s="4" t="n">
        <v>207</v>
      </c>
      <c r="C7" s="4" t="n">
        <v>187.6</v>
      </c>
      <c r="F7" s="4" t="n">
        <v>96.5</v>
      </c>
      <c r="G7" s="4" t="n">
        <v>111.2</v>
      </c>
      <c r="H7" s="4" t="n">
        <v>107.9</v>
      </c>
      <c r="I7" s="4" t="n">
        <v>623.2</v>
      </c>
      <c r="J7" s="4" t="n">
        <v>544.2</v>
      </c>
      <c r="K7" s="4" t="n">
        <v>485.1</v>
      </c>
      <c r="L7" s="4" t="n">
        <v>530.5</v>
      </c>
      <c r="M7" s="4" t="n">
        <v>518.8</v>
      </c>
      <c r="N7" s="4" t="n">
        <v>451.4</v>
      </c>
      <c r="O7" s="4" t="n">
        <v>385.1</v>
      </c>
      <c r="P7" s="4" t="n">
        <v>414.3</v>
      </c>
      <c r="Q7" s="4" t="n">
        <v>365.4</v>
      </c>
      <c r="R7" s="5" t="s">
        <v>61</v>
      </c>
    </row>
    <row r="8" customFormat="false" ht="15" hidden="false" customHeight="false" outlineLevel="0" collapsed="false">
      <c r="A8" s="0" t="s">
        <v>62</v>
      </c>
      <c r="B8" s="8" t="n">
        <f aca="false">IF(B7="","",B5-B6-B7)</f>
        <v>2155.9</v>
      </c>
      <c r="C8" s="8" t="n">
        <f aca="false">IF(C7="","",C5-C6-C7)</f>
        <v>2343.9</v>
      </c>
      <c r="D8" s="8" t="str">
        <f aca="false">IF(D7="","",D5-D6-D7)</f>
        <v/>
      </c>
      <c r="E8" s="8" t="str">
        <f aca="false">IF(E7="","",E5-E6-E7)</f>
        <v/>
      </c>
      <c r="F8" s="8" t="n">
        <f aca="false">IF(F7="","",F5-F6-F7)</f>
        <v>3112.9</v>
      </c>
      <c r="G8" s="8" t="n">
        <f aca="false">IF(G7="","",G5-G6-G7)</f>
        <v>3297.1</v>
      </c>
      <c r="H8" s="8" t="n">
        <f aca="false">IF(H7="","",H5-H6-H7)</f>
        <v>3375</v>
      </c>
      <c r="I8" s="8" t="n">
        <f aca="false">IF(I7="","",I5-I6-I7)</f>
        <v>1905.8</v>
      </c>
      <c r="J8" s="8" t="n">
        <f aca="false">IF(J7="","",J5-J6-J7)</f>
        <v>2288.4</v>
      </c>
      <c r="K8" s="8" t="n">
        <f aca="false">IF(K7="","",K5-K6-K7)</f>
        <v>2703.2</v>
      </c>
      <c r="L8" s="8" t="n">
        <f aca="false">IF(L7="","",L5-L6-L7)</f>
        <v>3169.1</v>
      </c>
      <c r="M8" s="8" t="n">
        <f aca="false">IF(M7="","",M5-M6-M7)</f>
        <v>3448.4</v>
      </c>
      <c r="N8" s="8" t="n">
        <f aca="false">IF(N7="","",N5-N6-N7)</f>
        <v>3843.2</v>
      </c>
      <c r="O8" s="8" t="n">
        <f aca="false">IF(O7="","",O5-O6-O7)</f>
        <v>4276.3</v>
      </c>
      <c r="P8" s="8" t="n">
        <f aca="false">IF(P7="","",P5-P6-P7)</f>
        <v>5016.1</v>
      </c>
      <c r="Q8" s="8" t="n">
        <f aca="false">IF(Q7="","",Q5-Q6-Q7)</f>
        <v>5729.3</v>
      </c>
      <c r="R8" s="5" t="s">
        <v>63</v>
      </c>
    </row>
    <row r="9" customFormat="false" ht="15" hidden="false" customHeight="false" outlineLevel="0" collapsed="false">
      <c r="A9" s="0" t="s">
        <v>64</v>
      </c>
      <c r="B9" s="4" t="n">
        <v>8298.8</v>
      </c>
      <c r="C9" s="4" t="n">
        <v>8996</v>
      </c>
      <c r="D9" s="4" t="n">
        <v>11599</v>
      </c>
      <c r="E9" s="4" t="n">
        <v>12620</v>
      </c>
      <c r="F9" s="4" t="n">
        <v>13248</v>
      </c>
      <c r="G9" s="4" t="n">
        <v>12931.8</v>
      </c>
      <c r="H9" s="4" t="n">
        <v>13918</v>
      </c>
      <c r="I9" s="4" t="n">
        <v>18819</v>
      </c>
      <c r="J9" s="4" t="n">
        <v>20937.2</v>
      </c>
      <c r="K9" s="4" t="n">
        <v>24261.4</v>
      </c>
      <c r="L9" s="4" t="n">
        <v>28888.2</v>
      </c>
      <c r="M9" s="4" t="n">
        <v>28718</v>
      </c>
      <c r="N9" s="4" t="n">
        <v>28616.7</v>
      </c>
      <c r="O9" s="4" t="n">
        <v>36010.8</v>
      </c>
      <c r="P9" s="4" t="n">
        <v>38302.4</v>
      </c>
      <c r="Q9" s="4" t="n">
        <v>38743.7</v>
      </c>
      <c r="R9" s="5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7" min="2" style="0" width="9"/>
    <col collapsed="false" customWidth="true" hidden="false" outlineLevel="0" max="18" min="18" style="0" width="70"/>
  </cols>
  <sheetData>
    <row r="1" customFormat="false" ht="16.15" hidden="false" customHeight="false" outlineLevel="0" collapsed="false">
      <c r="A1" s="2" t="s">
        <v>66</v>
      </c>
    </row>
    <row r="4" customFormat="false" ht="15" hidden="false" customHeight="false" outlineLevel="0" collapsed="false">
      <c r="A4" s="3" t="s">
        <v>8</v>
      </c>
      <c r="B4" s="3" t="n">
        <v>2010</v>
      </c>
      <c r="C4" s="3" t="n">
        <v>2011</v>
      </c>
      <c r="D4" s="3" t="n">
        <v>2012</v>
      </c>
      <c r="E4" s="3" t="n">
        <v>2013</v>
      </c>
      <c r="F4" s="3" t="n">
        <v>2014</v>
      </c>
      <c r="G4" s="3" t="n">
        <v>2015</v>
      </c>
      <c r="H4" s="3" t="n">
        <v>2016</v>
      </c>
      <c r="I4" s="3" t="n">
        <v>2017</v>
      </c>
      <c r="J4" s="3" t="n">
        <v>2018</v>
      </c>
      <c r="K4" s="3" t="n">
        <v>2019</v>
      </c>
      <c r="L4" s="3" t="n">
        <v>2020</v>
      </c>
      <c r="M4" s="3" t="n">
        <v>2021</v>
      </c>
      <c r="N4" s="3" t="n">
        <v>2022</v>
      </c>
      <c r="O4" s="3" t="n">
        <v>2023</v>
      </c>
      <c r="P4" s="3" t="n">
        <v>2024</v>
      </c>
      <c r="Q4" s="3" t="n">
        <v>2025</v>
      </c>
      <c r="R4" s="3" t="s">
        <v>9</v>
      </c>
    </row>
    <row r="5" customFormat="false" ht="15" hidden="false" customHeight="false" outlineLevel="0" collapsed="false">
      <c r="A5" s="0" t="s">
        <v>67</v>
      </c>
      <c r="D5" s="4" t="n">
        <v>166.79</v>
      </c>
      <c r="E5" s="4" t="n">
        <v>166.79</v>
      </c>
      <c r="F5" s="4" t="n">
        <v>166.79</v>
      </c>
      <c r="G5" s="4" t="n">
        <v>167.245</v>
      </c>
      <c r="H5" s="4" t="n">
        <v>167.925</v>
      </c>
      <c r="I5" s="4" t="n">
        <v>201.511</v>
      </c>
      <c r="J5" s="4" t="n">
        <v>201.704</v>
      </c>
      <c r="K5" s="4" t="n">
        <v>202.163</v>
      </c>
      <c r="L5" s="4" t="n">
        <v>202.586</v>
      </c>
      <c r="M5" s="4" t="n">
        <v>203.075</v>
      </c>
      <c r="N5" s="4" t="n">
        <v>203.86</v>
      </c>
      <c r="O5" s="4" t="n">
        <v>204.648</v>
      </c>
      <c r="P5" s="4" t="n">
        <v>205.419</v>
      </c>
      <c r="Q5" s="4" t="n">
        <v>206.386</v>
      </c>
      <c r="R5" s="5" t="s">
        <v>68</v>
      </c>
    </row>
    <row r="6" customFormat="false" ht="15" hidden="false" customHeight="false" outlineLevel="0" collapsed="false">
      <c r="A6" s="0" t="s">
        <v>69</v>
      </c>
      <c r="C6" s="4" t="n">
        <v>1.39</v>
      </c>
      <c r="D6" s="4" t="n">
        <v>1.6</v>
      </c>
      <c r="E6" s="4" t="n">
        <v>1.35</v>
      </c>
      <c r="F6" s="4" t="n">
        <v>1.46</v>
      </c>
      <c r="G6" s="4" t="n">
        <v>2.05</v>
      </c>
      <c r="H6" s="4" t="n">
        <v>2.2</v>
      </c>
      <c r="I6" s="4" t="n">
        <v>2.5</v>
      </c>
      <c r="J6" s="4" t="n">
        <v>2.9</v>
      </c>
      <c r="K6" s="4" t="n">
        <v>0</v>
      </c>
      <c r="L6" s="4" t="n">
        <v>2.9</v>
      </c>
      <c r="M6" s="4" t="n">
        <v>4.1</v>
      </c>
      <c r="N6" s="4" t="n">
        <v>4.1</v>
      </c>
      <c r="O6" s="4" t="n">
        <v>4.1</v>
      </c>
      <c r="P6" s="4" t="n">
        <v>4.25</v>
      </c>
      <c r="Q6" s="4" t="n">
        <v>4.25</v>
      </c>
      <c r="R6" s="5" t="s">
        <v>70</v>
      </c>
    </row>
    <row r="7" customFormat="false" ht="15" hidden="false" customHeight="false" outlineLevel="0" collapsed="false">
      <c r="A7" s="0" t="s">
        <v>71</v>
      </c>
      <c r="G7" s="4" t="n">
        <v>343</v>
      </c>
      <c r="H7" s="4" t="n">
        <v>443</v>
      </c>
      <c r="I7" s="4" t="n">
        <v>504</v>
      </c>
      <c r="J7" s="4" t="n">
        <v>583</v>
      </c>
      <c r="K7" s="4" t="n">
        <v>0</v>
      </c>
      <c r="L7" s="4" t="n">
        <v>587</v>
      </c>
      <c r="M7" s="4" t="n">
        <v>832</v>
      </c>
      <c r="N7" s="4" t="n">
        <v>836</v>
      </c>
      <c r="O7" s="4" t="n">
        <v>839</v>
      </c>
      <c r="P7" s="4" t="n">
        <v>873</v>
      </c>
      <c r="Q7" s="4" t="n">
        <v>877</v>
      </c>
      <c r="R7" s="5" t="s">
        <v>72</v>
      </c>
    </row>
    <row r="8" customFormat="false" ht="15" hidden="false" customHeight="false" outlineLevel="0" collapsed="false">
      <c r="A8" s="0" t="s">
        <v>73</v>
      </c>
      <c r="G8" s="9" t="n">
        <v>0.65</v>
      </c>
      <c r="H8" s="9" t="n">
        <v>0.65</v>
      </c>
      <c r="I8" s="9" t="n">
        <v>0.655</v>
      </c>
      <c r="J8" s="9" t="n">
        <v>0.653</v>
      </c>
      <c r="K8" s="9" t="n">
        <v>0</v>
      </c>
      <c r="L8" s="9" t="n">
        <v>0.646</v>
      </c>
      <c r="M8" s="9" t="n">
        <v>0.656</v>
      </c>
      <c r="N8" s="9" t="n">
        <v>0.747</v>
      </c>
      <c r="O8" s="9" t="n">
        <v>0.72</v>
      </c>
      <c r="P8" s="9" t="n">
        <v>0.67</v>
      </c>
      <c r="Q8" s="9" t="n">
        <v>0.737</v>
      </c>
      <c r="R8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7" min="2" style="0" width="9"/>
    <col collapsed="false" customWidth="true" hidden="false" outlineLevel="0" max="18" min="18" style="0" width="70"/>
  </cols>
  <sheetData>
    <row r="1" customFormat="false" ht="16.15" hidden="false" customHeight="false" outlineLevel="0" collapsed="false">
      <c r="A1" s="2" t="s">
        <v>74</v>
      </c>
    </row>
    <row r="2" customFormat="false" ht="15" hidden="false" customHeight="false" outlineLevel="0" collapsed="false">
      <c r="A2" s="0" t="s">
        <v>46</v>
      </c>
    </row>
    <row r="4" customFormat="false" ht="15" hidden="false" customHeight="false" outlineLevel="0" collapsed="false">
      <c r="A4" s="3" t="s">
        <v>8</v>
      </c>
      <c r="B4" s="3" t="n">
        <v>2010</v>
      </c>
      <c r="C4" s="3" t="n">
        <v>2011</v>
      </c>
      <c r="D4" s="3" t="n">
        <v>2012</v>
      </c>
      <c r="E4" s="3" t="n">
        <v>2013</v>
      </c>
      <c r="F4" s="3" t="n">
        <v>2014</v>
      </c>
      <c r="G4" s="3" t="n">
        <v>2015</v>
      </c>
      <c r="H4" s="3" t="n">
        <v>2016</v>
      </c>
      <c r="I4" s="3" t="n">
        <v>2017</v>
      </c>
      <c r="J4" s="3" t="n">
        <v>2018</v>
      </c>
      <c r="K4" s="3" t="n">
        <v>2019</v>
      </c>
      <c r="L4" s="3" t="n">
        <v>2020</v>
      </c>
      <c r="M4" s="3" t="n">
        <v>2021</v>
      </c>
      <c r="N4" s="3" t="n">
        <v>2022</v>
      </c>
      <c r="O4" s="3" t="n">
        <v>2023</v>
      </c>
      <c r="P4" s="3" t="n">
        <v>2024</v>
      </c>
      <c r="Q4" s="3" t="n">
        <v>2025</v>
      </c>
      <c r="R4" s="3" t="s">
        <v>9</v>
      </c>
    </row>
    <row r="5" customFormat="false" ht="15" hidden="false" customHeight="false" outlineLevel="0" collapsed="false">
      <c r="A5" s="0" t="s">
        <v>75</v>
      </c>
      <c r="F5" s="4" t="n">
        <v>32.5</v>
      </c>
      <c r="G5" s="4" t="n">
        <v>79.9</v>
      </c>
      <c r="H5" s="4" t="n">
        <v>62.2</v>
      </c>
      <c r="I5" s="4" t="n">
        <v>70.6</v>
      </c>
      <c r="J5" s="4" t="n">
        <v>42</v>
      </c>
      <c r="K5" s="4" t="n">
        <v>107.7</v>
      </c>
      <c r="L5" s="4" t="n">
        <v>45.1</v>
      </c>
      <c r="M5" s="4" t="n">
        <v>60.2</v>
      </c>
      <c r="N5" s="4" t="n">
        <v>7</v>
      </c>
      <c r="O5" s="4" t="n">
        <v>25.8</v>
      </c>
      <c r="P5" s="4" t="n">
        <v>55.4</v>
      </c>
      <c r="Q5" s="4" t="n">
        <v>87.6</v>
      </c>
      <c r="R5" s="5" t="s">
        <v>76</v>
      </c>
    </row>
    <row r="6" customFormat="false" ht="15" hidden="false" customHeight="false" outlineLevel="0" collapsed="false">
      <c r="A6" s="0" t="s">
        <v>77</v>
      </c>
      <c r="G6" s="4" t="n">
        <v>22.4</v>
      </c>
      <c r="H6" s="4" t="n">
        <v>21.8</v>
      </c>
      <c r="I6" s="4" t="n">
        <v>27.4</v>
      </c>
      <c r="J6" s="4" t="n">
        <v>-43.1</v>
      </c>
      <c r="K6" s="4" t="n">
        <v>120.6</v>
      </c>
      <c r="L6" s="4" t="n">
        <v>9.5</v>
      </c>
      <c r="N6" s="4" t="n">
        <v>-167</v>
      </c>
      <c r="O6" s="4" t="n">
        <v>127.2</v>
      </c>
      <c r="P6" s="4" t="n">
        <v>139.8</v>
      </c>
      <c r="Q6" s="4" t="n">
        <v>61.9</v>
      </c>
      <c r="R6" s="5" t="s">
        <v>78</v>
      </c>
    </row>
    <row r="7" customFormat="false" ht="15" hidden="false" customHeight="false" outlineLevel="0" collapsed="false">
      <c r="A7" s="0" t="s">
        <v>79</v>
      </c>
      <c r="G7" s="4" t="n">
        <v>5.3</v>
      </c>
      <c r="H7" s="4" t="n">
        <v>13.6</v>
      </c>
      <c r="I7" s="4" t="n">
        <v>242.9</v>
      </c>
      <c r="J7" s="4" t="n">
        <v>0</v>
      </c>
      <c r="K7" s="4" t="n">
        <v>0</v>
      </c>
      <c r="L7" s="4" t="n">
        <v>20.7</v>
      </c>
      <c r="M7" s="4" t="n">
        <v>148</v>
      </c>
      <c r="N7" s="4" t="n">
        <v>0</v>
      </c>
      <c r="O7" s="4" t="n">
        <v>-20</v>
      </c>
      <c r="P7" s="4" t="n">
        <v>7.9</v>
      </c>
      <c r="Q7" s="4" t="n">
        <v>-9.7</v>
      </c>
      <c r="R7" s="5" t="s">
        <v>80</v>
      </c>
    </row>
    <row r="8" customFormat="false" ht="15" hidden="false" customHeight="false" outlineLevel="0" collapsed="false">
      <c r="A8" s="0" t="s">
        <v>81</v>
      </c>
      <c r="B8" s="4" t="n">
        <v>710.3</v>
      </c>
      <c r="C8" s="4" t="n">
        <v>658.6</v>
      </c>
      <c r="D8" s="4" t="n">
        <v>748.5</v>
      </c>
      <c r="E8" s="4" t="n">
        <v>792</v>
      </c>
      <c r="F8" s="4" t="n">
        <v>877.6</v>
      </c>
      <c r="G8" s="4" t="n">
        <v>985</v>
      </c>
      <c r="H8" s="4" t="n">
        <v>1083</v>
      </c>
      <c r="I8" s="4" t="n">
        <v>1426</v>
      </c>
      <c r="J8" s="4" t="n">
        <v>1425</v>
      </c>
      <c r="K8" s="4" t="n">
        <v>1653</v>
      </c>
      <c r="L8" s="4" t="n">
        <v>1729</v>
      </c>
      <c r="M8" s="4" t="n">
        <v>2064</v>
      </c>
      <c r="N8" s="4" t="n">
        <v>1904</v>
      </c>
      <c r="O8" s="4" t="n">
        <v>2037</v>
      </c>
      <c r="P8" s="4" t="n">
        <v>2240</v>
      </c>
      <c r="Q8" s="4" t="n">
        <v>2380</v>
      </c>
    </row>
    <row r="9" customFormat="false" ht="15" hidden="false" customHeight="false" outlineLevel="0" collapsed="false">
      <c r="A9" s="0" t="s">
        <v>82</v>
      </c>
      <c r="C9" s="8" t="str">
        <f aca="false">IF(OR(C5="",C6=""),"",C8-B8-C5-C6-C7)</f>
        <v/>
      </c>
      <c r="D9" s="8" t="str">
        <f aca="false">IF(OR(D5="",D6=""),"",D8-C8-D5-D6-D7)</f>
        <v/>
      </c>
      <c r="E9" s="8" t="str">
        <f aca="false">IF(OR(E5="",E6=""),"",E8-D8-E5-E6-E7)</f>
        <v/>
      </c>
      <c r="F9" s="8" t="str">
        <f aca="false">IF(OR(F5="",F6=""),"",F8-E8-F5-F6-F7)</f>
        <v/>
      </c>
      <c r="G9" s="8" t="n">
        <f aca="false">IF(OR(G5="",G6=""),"",G8-F8-G5-G6-G7)</f>
        <v>-0.200000000000027</v>
      </c>
      <c r="H9" s="8" t="n">
        <f aca="false">IF(OR(H5="",H6=""),"",H8-G8-H5-H6-H7)</f>
        <v>0.399999999999997</v>
      </c>
      <c r="I9" s="8" t="n">
        <f aca="false">IF(OR(I5="",I6=""),"",I8-H8-I5-I6-I7)</f>
        <v>2.09999999999997</v>
      </c>
      <c r="J9" s="8" t="n">
        <f aca="false">IF(OR(J5="",J6=""),"",J8-I8-J5-J6-J7)</f>
        <v>0.100000000000001</v>
      </c>
      <c r="K9" s="8" t="n">
        <f aca="false">IF(OR(K5="",K6=""),"",K8-J8-K5-K6-K7)</f>
        <v>-0.299999999999997</v>
      </c>
      <c r="L9" s="8" t="n">
        <f aca="false">IF(OR(L5="",L6=""),"",L8-K8-L5-L6-L7)</f>
        <v>0.699999999999999</v>
      </c>
      <c r="M9" s="8" t="str">
        <f aca="false">IF(OR(M5="",M6=""),"",M8-L8-M5-M6-M7)</f>
        <v/>
      </c>
      <c r="N9" s="8" t="n">
        <f aca="false">IF(OR(N5="",N6=""),"",N8-M8-N5-N6-N7)</f>
        <v>0</v>
      </c>
      <c r="O9" s="8" t="n">
        <f aca="false">IF(OR(O5="",O6=""),"",O8-N8-O5-O6-O7)</f>
        <v>0</v>
      </c>
      <c r="P9" s="8" t="n">
        <f aca="false">IF(OR(P5="",P6=""),"",P8-O8-P5-P6-P7)</f>
        <v>-0.100000000000017</v>
      </c>
      <c r="Q9" s="8" t="n">
        <f aca="false">IF(OR(Q5="",Q6=""),"",Q8-P8-Q5-Q6-Q7)</f>
        <v>0.200000000000006</v>
      </c>
      <c r="R9" s="5" t="e">
        <f aca="false">encours fin − encours début − collecte − marché − périmètre (doit être ~0 ; 2021 : marché déduit)</f>
        <v>#N/A</v>
      </c>
    </row>
    <row r="10" customFormat="false" ht="15" hidden="false" customHeight="false" outlineLevel="0" collapsed="false">
      <c r="A10" s="0" t="s">
        <v>83</v>
      </c>
      <c r="C10" s="7" t="str">
        <f aca="false">IF(C5="","",C5/B8)</f>
        <v/>
      </c>
      <c r="D10" s="7" t="str">
        <f aca="false">IF(D5="","",D5/C8)</f>
        <v/>
      </c>
      <c r="E10" s="7" t="str">
        <f aca="false">IF(E5="","",E5/D8)</f>
        <v/>
      </c>
      <c r="F10" s="7" t="n">
        <f aca="false">IF(F5="","",F5/E8)</f>
        <v>0.0410353535353535</v>
      </c>
      <c r="G10" s="7" t="n">
        <f aca="false">IF(G5="","",G5/F8)</f>
        <v>0.0910437556973564</v>
      </c>
      <c r="H10" s="7" t="n">
        <f aca="false">IF(H5="","",H5/G8)</f>
        <v>0.0631472081218274</v>
      </c>
      <c r="I10" s="7" t="n">
        <f aca="false">IF(I5="","",I5/H8)</f>
        <v>0.0651892890120037</v>
      </c>
      <c r="J10" s="7" t="n">
        <f aca="false">IF(J5="","",J5/I8)</f>
        <v>0.02945301542777</v>
      </c>
      <c r="K10" s="7" t="n">
        <f aca="false">IF(K5="","",K5/J8)</f>
        <v>0.0755789473684211</v>
      </c>
      <c r="L10" s="7" t="n">
        <f aca="false">IF(L5="","",L5/K8)</f>
        <v>0.0272837265577737</v>
      </c>
      <c r="M10" s="7" t="n">
        <f aca="false">IF(M5="","",M5/L8)</f>
        <v>0.0348178137651822</v>
      </c>
      <c r="N10" s="7" t="n">
        <f aca="false">IF(N5="","",N5/M8)</f>
        <v>0.00339147286821705</v>
      </c>
      <c r="O10" s="7" t="n">
        <f aca="false">IF(O5="","",O5/N8)</f>
        <v>0.0135504201680672</v>
      </c>
      <c r="P10" s="7" t="n">
        <f aca="false">IF(P5="","",P5/O8)</f>
        <v>0.0271968581246932</v>
      </c>
      <c r="Q10" s="7" t="n">
        <f aca="false">IF(Q5="","",Q5/P8)</f>
        <v>0.0391071428571429</v>
      </c>
    </row>
    <row r="11" customFormat="false" ht="15" hidden="false" customHeight="false" outlineLevel="0" collapsed="false">
      <c r="A11" s="0" t="s">
        <v>84</v>
      </c>
      <c r="C11" s="7" t="str">
        <f aca="false">IF(C6="","",C6/B8)</f>
        <v/>
      </c>
      <c r="D11" s="7" t="str">
        <f aca="false">IF(D6="","",D6/C8)</f>
        <v/>
      </c>
      <c r="E11" s="7" t="str">
        <f aca="false">IF(E6="","",E6/D8)</f>
        <v/>
      </c>
      <c r="F11" s="7" t="str">
        <f aca="false">IF(F6="","",F6/E8)</f>
        <v/>
      </c>
      <c r="G11" s="7" t="n">
        <f aca="false">IF(G6="","",G6/F8)</f>
        <v>0.0255241567912489</v>
      </c>
      <c r="H11" s="7" t="n">
        <f aca="false">IF(H6="","",H6/G8)</f>
        <v>0.0221319796954315</v>
      </c>
      <c r="I11" s="7" t="n">
        <f aca="false">IF(I6="","",I6/H8)</f>
        <v>0.0253000923361034</v>
      </c>
      <c r="J11" s="7" t="n">
        <f aca="false">IF(J6="","",J6/I8)</f>
        <v>-0.0302244039270687</v>
      </c>
      <c r="K11" s="7" t="n">
        <f aca="false">IF(K6="","",K6/J8)</f>
        <v>0.0846315789473684</v>
      </c>
      <c r="L11" s="7" t="n">
        <f aca="false">IF(L6="","",L6/K8)</f>
        <v>0.00574712643678161</v>
      </c>
      <c r="M11" s="7" t="str">
        <f aca="false">IF(M6="","",M6/L8)</f>
        <v/>
      </c>
      <c r="N11" s="7" t="n">
        <f aca="false">IF(N6="","",N6/M8)</f>
        <v>-0.0809108527131783</v>
      </c>
      <c r="O11" s="7" t="n">
        <f aca="false">IF(O6="","",O6/N8)</f>
        <v>0.0668067226890756</v>
      </c>
      <c r="P11" s="7" t="n">
        <f aca="false">IF(P6="","",P6/O8)</f>
        <v>0.0686303387334315</v>
      </c>
      <c r="Q11" s="7" t="n">
        <f aca="false">IF(Q6="","",Q6/P8)</f>
        <v>0.0276339285714286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7" min="2" style="0" width="9"/>
    <col collapsed="false" customWidth="true" hidden="false" outlineLevel="0" max="18" min="18" style="0" width="70"/>
  </cols>
  <sheetData>
    <row r="1" customFormat="false" ht="16.15" hidden="false" customHeight="false" outlineLevel="0" collapsed="false">
      <c r="A1" s="2" t="s">
        <v>85</v>
      </c>
    </row>
    <row r="2" customFormat="false" ht="15" hidden="false" customHeight="false" outlineLevel="0" collapsed="false">
      <c r="A2" s="0" t="s">
        <v>86</v>
      </c>
    </row>
    <row r="4" customFormat="false" ht="15" hidden="false" customHeight="false" outlineLevel="0" collapsed="false">
      <c r="A4" s="3" t="s">
        <v>8</v>
      </c>
      <c r="B4" s="3" t="n">
        <v>2010</v>
      </c>
      <c r="C4" s="3" t="n">
        <v>2011</v>
      </c>
      <c r="D4" s="3" t="n">
        <v>2012</v>
      </c>
      <c r="E4" s="3" t="n">
        <v>2013</v>
      </c>
      <c r="F4" s="3" t="n">
        <v>2014</v>
      </c>
      <c r="G4" s="3" t="n">
        <v>2015</v>
      </c>
      <c r="H4" s="3" t="n">
        <v>2016</v>
      </c>
      <c r="I4" s="3" t="n">
        <v>2017</v>
      </c>
      <c r="J4" s="3" t="n">
        <v>2018</v>
      </c>
      <c r="K4" s="3" t="n">
        <v>2019</v>
      </c>
      <c r="L4" s="3" t="n">
        <v>2020</v>
      </c>
      <c r="M4" s="3" t="n">
        <v>2021</v>
      </c>
      <c r="N4" s="3" t="n">
        <v>2022</v>
      </c>
      <c r="O4" s="3" t="n">
        <v>2023</v>
      </c>
      <c r="P4" s="3" t="n">
        <v>2024</v>
      </c>
      <c r="Q4" s="3" t="n">
        <v>2025</v>
      </c>
      <c r="R4" s="3" t="s">
        <v>9</v>
      </c>
    </row>
    <row r="5" customFormat="false" ht="15" hidden="false" customHeight="false" outlineLevel="0" collapsed="false">
      <c r="A5" s="0" t="s">
        <v>87</v>
      </c>
      <c r="F5" s="4" t="n">
        <v>-509.3</v>
      </c>
      <c r="G5" s="4" t="n">
        <v>-565.1</v>
      </c>
      <c r="H5" s="4" t="n">
        <v>-557.4</v>
      </c>
      <c r="I5" s="4" t="n">
        <v>-845.7</v>
      </c>
      <c r="J5" s="4" t="n">
        <v>-857</v>
      </c>
      <c r="K5" s="4" t="n">
        <v>-886.7</v>
      </c>
      <c r="L5" s="4" t="n">
        <v>-896.8</v>
      </c>
      <c r="M5" s="4" t="n">
        <v>-1045.8</v>
      </c>
      <c r="N5" s="4" t="n">
        <v>-1120.6</v>
      </c>
      <c r="O5" s="4" t="n">
        <v>-1144.6</v>
      </c>
      <c r="P5" s="4" t="n">
        <v>-1263.1</v>
      </c>
      <c r="Q5" s="4" t="n">
        <v>-1202.6</v>
      </c>
      <c r="R5" s="5" t="s">
        <v>88</v>
      </c>
    </row>
    <row r="6" customFormat="false" ht="15" hidden="false" customHeight="false" outlineLevel="0" collapsed="false">
      <c r="A6" s="0" t="s">
        <v>89</v>
      </c>
      <c r="F6" s="4" t="n">
        <v>-805.1</v>
      </c>
      <c r="G6" s="4" t="n">
        <v>-883.2</v>
      </c>
      <c r="H6" s="4" t="n">
        <v>-877.8</v>
      </c>
      <c r="I6" s="4" t="n">
        <v>-1308.6</v>
      </c>
      <c r="J6" s="4" t="n">
        <v>-1387.2</v>
      </c>
      <c r="K6" s="4" t="n">
        <v>-1376.8</v>
      </c>
      <c r="L6" s="4" t="n">
        <v>-1340.8</v>
      </c>
      <c r="M6" s="4" t="n">
        <v>-1550.2</v>
      </c>
      <c r="N6" s="4" t="n">
        <v>-1732.7</v>
      </c>
      <c r="O6" s="4" t="n">
        <v>-1706</v>
      </c>
      <c r="P6" s="4" t="n">
        <v>-1851.6</v>
      </c>
      <c r="Q6" s="4" t="n">
        <v>-1895.4</v>
      </c>
    </row>
    <row r="7" customFormat="false" ht="15" hidden="false" customHeight="false" outlineLevel="0" collapsed="false">
      <c r="A7" s="0" t="s">
        <v>90</v>
      </c>
      <c r="B7" s="8" t="str">
        <f aca="false">IF(B5="","",B6-B5)</f>
        <v/>
      </c>
      <c r="C7" s="8" t="str">
        <f aca="false">IF(C5="","",C6-C5)</f>
        <v/>
      </c>
      <c r="D7" s="8" t="str">
        <f aca="false">IF(D5="","",D6-D5)</f>
        <v/>
      </c>
      <c r="E7" s="8" t="str">
        <f aca="false">IF(E5="","",E6-E5)</f>
        <v/>
      </c>
      <c r="F7" s="8" t="n">
        <f aca="false">IF(F5="","",F6-F5)</f>
        <v>-295.8</v>
      </c>
      <c r="G7" s="8" t="n">
        <f aca="false">IF(G5="","",G6-G5)</f>
        <v>-318.1</v>
      </c>
      <c r="H7" s="8" t="n">
        <f aca="false">IF(H5="","",H6-H5)</f>
        <v>-320.4</v>
      </c>
      <c r="I7" s="8" t="n">
        <f aca="false">IF(I5="","",I6-I5)</f>
        <v>-462.9</v>
      </c>
      <c r="J7" s="8" t="n">
        <f aca="false">IF(J5="","",J6-J5)</f>
        <v>-530.2</v>
      </c>
      <c r="K7" s="8" t="n">
        <f aca="false">IF(K5="","",K6-K5)</f>
        <v>-490.1</v>
      </c>
      <c r="L7" s="8" t="n">
        <f aca="false">IF(L5="","",L6-L5)</f>
        <v>-444</v>
      </c>
      <c r="M7" s="8" t="n">
        <f aca="false">IF(M5="","",M6-M5)</f>
        <v>-504.4</v>
      </c>
      <c r="N7" s="8" t="n">
        <f aca="false">IF(N5="","",N6-N5)</f>
        <v>-612.1</v>
      </c>
      <c r="O7" s="8" t="n">
        <f aca="false">IF(O5="","",O6-O5)</f>
        <v>-561.4</v>
      </c>
      <c r="P7" s="8" t="n">
        <f aca="false">IF(P5="","",P6-P5)</f>
        <v>-588.5</v>
      </c>
      <c r="Q7" s="8" t="n">
        <f aca="false">IF(Q5="","",Q6-Q5)</f>
        <v>-692.8</v>
      </c>
      <c r="R7" s="5" t="s">
        <v>22</v>
      </c>
    </row>
    <row r="8" customFormat="false" ht="15" hidden="false" customHeight="false" outlineLevel="0" collapsed="false">
      <c r="A8" s="0" t="s">
        <v>91</v>
      </c>
      <c r="B8" s="7" t="str">
        <f aca="false">IF(B5="","",B5/B6)</f>
        <v/>
      </c>
      <c r="C8" s="7" t="str">
        <f aca="false">IF(C5="","",C5/C6)</f>
        <v/>
      </c>
      <c r="D8" s="7" t="str">
        <f aca="false">IF(D5="","",D5/D6)</f>
        <v/>
      </c>
      <c r="E8" s="7" t="str">
        <f aca="false">IF(E5="","",E5/E6)</f>
        <v/>
      </c>
      <c r="F8" s="7" t="n">
        <f aca="false">IF(F5="","",F5/F6)</f>
        <v>0.632592224568377</v>
      </c>
      <c r="G8" s="7" t="n">
        <f aca="false">IF(G5="","",G5/G6)</f>
        <v>0.639832427536232</v>
      </c>
      <c r="H8" s="7" t="n">
        <f aca="false">IF(H5="","",H5/H6)</f>
        <v>0.634996582365003</v>
      </c>
      <c r="I8" s="7" t="n">
        <f aca="false">IF(I5="","",I5/I6)</f>
        <v>0.646263182026593</v>
      </c>
      <c r="J8" s="7" t="n">
        <f aca="false">IF(J5="","",J5/J6)</f>
        <v>0.617791234140715</v>
      </c>
      <c r="K8" s="7" t="n">
        <f aca="false">IF(K5="","",K5/K6)</f>
        <v>0.644029633933759</v>
      </c>
      <c r="L8" s="7" t="n">
        <f aca="false">IF(L5="","",L5/L6)</f>
        <v>0.668854415274463</v>
      </c>
      <c r="M8" s="7" t="n">
        <f aca="false">IF(M5="","",M5/M6)</f>
        <v>0.67462262933815</v>
      </c>
      <c r="N8" s="7" t="n">
        <f aca="false">IF(N5="","",N5/N6)</f>
        <v>0.64673630749697</v>
      </c>
      <c r="O8" s="7" t="n">
        <f aca="false">IF(O5="","",O5/O6)</f>
        <v>0.670926143024619</v>
      </c>
      <c r="P8" s="7" t="n">
        <f aca="false">IF(P5="","",P5/P6)</f>
        <v>0.682166774681357</v>
      </c>
      <c r="Q8" s="7" t="n">
        <f aca="false">IF(Q5="","",Q5/Q6)</f>
        <v>0.634483486335338</v>
      </c>
      <c r="R8" s="5" t="s">
        <v>22</v>
      </c>
    </row>
    <row r="9" customFormat="false" ht="15" hidden="false" customHeight="false" outlineLevel="0" collapsed="false">
      <c r="A9" s="0" t="s">
        <v>92</v>
      </c>
      <c r="B9" s="4" t="n">
        <v>19.2</v>
      </c>
      <c r="C9" s="4" t="n">
        <v>18.8</v>
      </c>
      <c r="F9" s="4" t="n">
        <v>16.4</v>
      </c>
      <c r="G9" s="4" t="n">
        <v>16.1</v>
      </c>
      <c r="H9" s="4" t="n">
        <v>16</v>
      </c>
      <c r="I9" s="4" t="n">
        <v>19.1</v>
      </c>
      <c r="J9" s="4" t="n">
        <v>18.8</v>
      </c>
      <c r="K9" s="4" t="n">
        <v>18.4</v>
      </c>
      <c r="L9" s="4" t="n">
        <v>17.4</v>
      </c>
      <c r="M9" s="4" t="n">
        <v>17.5</v>
      </c>
      <c r="N9" s="4" t="n">
        <v>17.8</v>
      </c>
      <c r="O9" s="4" t="n">
        <v>17.7</v>
      </c>
      <c r="P9" s="4" t="n">
        <v>17.7</v>
      </c>
      <c r="Q9" s="4" t="n">
        <v>16.1</v>
      </c>
      <c r="R9" s="5" t="s">
        <v>93</v>
      </c>
    </row>
    <row r="10" customFormat="false" ht="15" hidden="false" customHeight="false" outlineLevel="0" collapsed="false">
      <c r="A10" s="0" t="s">
        <v>94</v>
      </c>
      <c r="B10" s="10" t="n">
        <f aca="false">IFERROR(CR_ajuste!B5/B9*10,"")</f>
        <v>707.8125</v>
      </c>
      <c r="C10" s="10" t="n">
        <f aca="false">IFERROR(CR_ajuste!C5/C9*10,"")</f>
        <v>699.468085106383</v>
      </c>
      <c r="D10" s="10" t="str">
        <f aca="false">IFERROR(CR_ajuste!D5/D9*10,"")</f>
        <v/>
      </c>
      <c r="E10" s="10" t="str">
        <f aca="false">IFERROR(CR_ajuste!E5/E9*10,"")</f>
        <v/>
      </c>
      <c r="F10" s="10" t="n">
        <f aca="false">IFERROR(CR_ajuste!F5/F9*10,"")</f>
        <v>806.09756097561</v>
      </c>
      <c r="G10" s="10" t="n">
        <f aca="false">IFERROR(CR_ajuste!G5/G9*10,"")</f>
        <v>910.55900621118</v>
      </c>
      <c r="H10" s="10" t="n">
        <f aca="false">IFERROR(CR_ajuste!H5/H9*10,"")</f>
        <v>943.75</v>
      </c>
      <c r="I10" s="10" t="n">
        <f aca="false">IFERROR(CR_ajuste!I5/I9*10,"")</f>
        <v>1062.30366492147</v>
      </c>
      <c r="J10" s="10" t="n">
        <f aca="false">IFERROR(CR_ajuste!J5/J9*10,"")</f>
        <v>1325</v>
      </c>
      <c r="K10" s="10" t="n">
        <f aca="false">IFERROR(CR_ajuste!K5/K9*10,"")</f>
        <v>1354.89130434783</v>
      </c>
      <c r="L10" s="10" t="n">
        <f aca="false">IFERROR(CR_ajuste!L5/L9*10,"")</f>
        <v>1398.85057471264</v>
      </c>
      <c r="M10" s="10" t="n">
        <f aca="false">IFERROR(CR_ajuste!M5/M9*10,"")</f>
        <v>1575.42857142857</v>
      </c>
      <c r="N10" s="10" t="n">
        <f aca="false">IFERROR(CR_ajuste!N5/N9*10,"")</f>
        <v>1665.73033707865</v>
      </c>
      <c r="O10" s="10" t="n">
        <f aca="false">IFERROR(CR_ajuste!O5/O9*10,"")</f>
        <v>1661.01694915254</v>
      </c>
      <c r="P10" s="10" t="n">
        <f aca="false">IFERROR(CR_ajuste!P5/P9*10,"")</f>
        <v>1798.87005649718</v>
      </c>
      <c r="Q10" s="10" t="n">
        <f aca="false">IFERROR(CR_ajuste!Q5/Q9*10,"")</f>
        <v>1895.65217391304</v>
      </c>
      <c r="R10" s="5" t="e">
        <f aca="false">commissions de gestion / marge</f>
        <v>#VALUE!</v>
      </c>
    </row>
    <row r="11" customFormat="false" ht="15" hidden="false" customHeight="false" outlineLevel="0" collapsed="false">
      <c r="A11" s="0" t="s">
        <v>95</v>
      </c>
      <c r="B11" s="4" t="n">
        <v>2915</v>
      </c>
      <c r="C11" s="4" t="n">
        <v>2902</v>
      </c>
      <c r="L11" s="4" t="n">
        <v>4500</v>
      </c>
      <c r="M11" s="4" t="n">
        <v>5300</v>
      </c>
      <c r="N11" s="4" t="n">
        <v>5400</v>
      </c>
      <c r="O11" s="4" t="n">
        <v>5500</v>
      </c>
      <c r="P11" s="4" t="n">
        <v>5700</v>
      </c>
      <c r="Q11" s="4" t="n">
        <v>5366</v>
      </c>
      <c r="R11" s="5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52"/>
    <col collapsed="false" customWidth="true" hidden="false" outlineLevel="0" max="4" min="4" style="0" width="40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3" t="s">
        <v>97</v>
      </c>
      <c r="B1" s="3" t="s">
        <v>98</v>
      </c>
      <c r="C1" s="3" t="s">
        <v>99</v>
      </c>
      <c r="D1" s="3" t="s">
        <v>100</v>
      </c>
      <c r="E1" s="3" t="s">
        <v>101</v>
      </c>
    </row>
    <row r="2" customFormat="false" ht="15" hidden="false" customHeight="false" outlineLevel="0" collapsed="false">
      <c r="A2" s="0" t="n">
        <v>2010</v>
      </c>
      <c r="B2" s="0" t="s">
        <v>102</v>
      </c>
      <c r="C2" s="0" t="s">
        <v>103</v>
      </c>
      <c r="D2" s="0" t="s">
        <v>104</v>
      </c>
      <c r="E2" s="0" t="s">
        <v>105</v>
      </c>
    </row>
    <row r="3" customFormat="false" ht="15" hidden="false" customHeight="false" outlineLevel="0" collapsed="false">
      <c r="A3" s="0" t="n">
        <v>2011</v>
      </c>
      <c r="B3" s="0" t="s">
        <v>106</v>
      </c>
      <c r="C3" s="0" t="s">
        <v>107</v>
      </c>
      <c r="D3" s="0" t="s">
        <v>108</v>
      </c>
      <c r="E3" s="0" t="s">
        <v>109</v>
      </c>
    </row>
    <row r="4" customFormat="false" ht="15" hidden="false" customHeight="false" outlineLevel="0" collapsed="false">
      <c r="A4" s="0" t="n">
        <v>2011</v>
      </c>
      <c r="B4" s="0" t="s">
        <v>110</v>
      </c>
      <c r="C4" s="0" t="s">
        <v>111</v>
      </c>
      <c r="D4" s="0" t="s">
        <v>112</v>
      </c>
      <c r="E4" s="0" t="s">
        <v>113</v>
      </c>
    </row>
    <row r="5" customFormat="false" ht="15" hidden="false" customHeight="false" outlineLevel="0" collapsed="false">
      <c r="A5" s="0" t="n">
        <v>2012</v>
      </c>
      <c r="B5" s="0" t="s">
        <v>114</v>
      </c>
      <c r="C5" s="0" t="s">
        <v>115</v>
      </c>
      <c r="D5" s="0" t="s">
        <v>116</v>
      </c>
      <c r="E5" s="0" t="s">
        <v>117</v>
      </c>
    </row>
    <row r="6" customFormat="false" ht="15" hidden="false" customHeight="false" outlineLevel="0" collapsed="false">
      <c r="A6" s="0" t="n">
        <v>2014</v>
      </c>
      <c r="B6" s="0" t="s">
        <v>118</v>
      </c>
      <c r="C6" s="0" t="s">
        <v>119</v>
      </c>
      <c r="D6" s="0" t="s">
        <v>120</v>
      </c>
      <c r="E6" s="0" t="s">
        <v>121</v>
      </c>
    </row>
    <row r="7" customFormat="false" ht="15" hidden="false" customHeight="false" outlineLevel="0" collapsed="false">
      <c r="A7" s="0" t="n">
        <v>2015</v>
      </c>
      <c r="B7" s="0" t="s">
        <v>122</v>
      </c>
      <c r="C7" s="0" t="s">
        <v>123</v>
      </c>
      <c r="D7" s="0" t="s">
        <v>124</v>
      </c>
      <c r="E7" s="0" t="s">
        <v>125</v>
      </c>
    </row>
    <row r="8" customFormat="false" ht="15" hidden="false" customHeight="false" outlineLevel="0" collapsed="false">
      <c r="A8" s="0" t="n">
        <v>2016</v>
      </c>
      <c r="B8" s="0" t="s">
        <v>126</v>
      </c>
      <c r="C8" s="0" t="s">
        <v>127</v>
      </c>
      <c r="D8" s="0" t="s">
        <v>128</v>
      </c>
      <c r="E8" s="0" t="s">
        <v>129</v>
      </c>
    </row>
    <row r="9" customFormat="false" ht="15" hidden="false" customHeight="false" outlineLevel="0" collapsed="false">
      <c r="A9" s="0" t="n">
        <v>2017</v>
      </c>
      <c r="B9" s="0" t="s">
        <v>130</v>
      </c>
      <c r="C9" s="0" t="s">
        <v>131</v>
      </c>
      <c r="D9" s="0" t="s">
        <v>132</v>
      </c>
      <c r="E9" s="0" t="s">
        <v>129</v>
      </c>
    </row>
    <row r="10" customFormat="false" ht="15" hidden="false" customHeight="false" outlineLevel="0" collapsed="false">
      <c r="A10" s="0" t="n">
        <v>2018</v>
      </c>
      <c r="B10" s="0" t="s">
        <v>133</v>
      </c>
      <c r="C10" s="0" t="s">
        <v>134</v>
      </c>
      <c r="D10" s="0" t="s">
        <v>135</v>
      </c>
      <c r="E10" s="0" t="s">
        <v>136</v>
      </c>
    </row>
    <row r="11" customFormat="false" ht="15" hidden="false" customHeight="false" outlineLevel="0" collapsed="false">
      <c r="A11" s="0" t="n">
        <v>2019</v>
      </c>
      <c r="B11" s="0" t="s">
        <v>137</v>
      </c>
      <c r="C11" s="0" t="s">
        <v>135</v>
      </c>
      <c r="D11" s="0" t="s">
        <v>138</v>
      </c>
      <c r="E11" s="0" t="s">
        <v>139</v>
      </c>
    </row>
    <row r="12" customFormat="false" ht="15" hidden="false" customHeight="false" outlineLevel="0" collapsed="false">
      <c r="A12" s="0" t="n">
        <v>2021</v>
      </c>
      <c r="B12" s="0" t="s">
        <v>140</v>
      </c>
      <c r="C12" s="0" t="s">
        <v>141</v>
      </c>
      <c r="D12" s="0" t="s">
        <v>142</v>
      </c>
      <c r="E12" s="0" t="s">
        <v>143</v>
      </c>
    </row>
    <row r="13" customFormat="false" ht="15" hidden="false" customHeight="false" outlineLevel="0" collapsed="false">
      <c r="A13" s="0" t="n">
        <v>2021</v>
      </c>
      <c r="B13" s="0" t="s">
        <v>144</v>
      </c>
      <c r="C13" s="0" t="s">
        <v>145</v>
      </c>
      <c r="D13" s="0" t="s">
        <v>146</v>
      </c>
      <c r="E13" s="0" t="s">
        <v>147</v>
      </c>
    </row>
    <row r="14" customFormat="false" ht="15" hidden="false" customHeight="false" outlineLevel="0" collapsed="false">
      <c r="A14" s="0" t="n">
        <v>2021</v>
      </c>
      <c r="B14" s="0" t="s">
        <v>148</v>
      </c>
      <c r="C14" s="0" t="s">
        <v>149</v>
      </c>
      <c r="D14" s="0" t="s">
        <v>150</v>
      </c>
      <c r="E14" s="0" t="s">
        <v>151</v>
      </c>
    </row>
    <row r="15" customFormat="false" ht="15" hidden="false" customHeight="false" outlineLevel="0" collapsed="false">
      <c r="A15" s="0" t="n">
        <v>2023</v>
      </c>
      <c r="B15" s="0" t="s">
        <v>152</v>
      </c>
      <c r="C15" s="0" t="s">
        <v>153</v>
      </c>
      <c r="D15" s="0" t="s">
        <v>154</v>
      </c>
      <c r="E15" s="0" t="s">
        <v>155</v>
      </c>
    </row>
    <row r="16" customFormat="false" ht="15" hidden="false" customHeight="false" outlineLevel="0" collapsed="false">
      <c r="A16" s="0" t="n">
        <v>2024</v>
      </c>
      <c r="B16" s="0" t="s">
        <v>156</v>
      </c>
      <c r="C16" s="0" t="s">
        <v>157</v>
      </c>
      <c r="D16" s="0" t="s">
        <v>135</v>
      </c>
      <c r="E16" s="0" t="s">
        <v>158</v>
      </c>
    </row>
    <row r="17" customFormat="false" ht="15" hidden="false" customHeight="false" outlineLevel="0" collapsed="false">
      <c r="A17" s="0" t="n">
        <v>2025</v>
      </c>
      <c r="B17" s="0" t="s">
        <v>159</v>
      </c>
      <c r="C17" s="0" t="s">
        <v>160</v>
      </c>
      <c r="D17" s="0" t="s">
        <v>161</v>
      </c>
      <c r="E17" s="0" t="s">
        <v>162</v>
      </c>
    </row>
    <row r="18" customFormat="false" ht="15" hidden="false" customHeight="false" outlineLevel="0" collapsed="false">
      <c r="A18" s="0" t="n">
        <v>2021</v>
      </c>
      <c r="B18" s="0" t="s">
        <v>163</v>
      </c>
      <c r="C18" s="0" t="s">
        <v>164</v>
      </c>
      <c r="D18" s="0" t="s">
        <v>165</v>
      </c>
      <c r="E18" s="0" t="s">
        <v>166</v>
      </c>
    </row>
    <row r="19" customFormat="false" ht="15" hidden="false" customHeight="false" outlineLevel="0" collapsed="false">
      <c r="A19" s="0" t="n">
        <v>2025</v>
      </c>
      <c r="B19" s="0" t="s">
        <v>167</v>
      </c>
      <c r="C19" s="0" t="s">
        <v>168</v>
      </c>
      <c r="D19" s="0" t="s">
        <v>154</v>
      </c>
      <c r="E19" s="0" t="s">
        <v>169</v>
      </c>
    </row>
    <row r="20" customFormat="false" ht="15" hidden="false" customHeight="false" outlineLevel="0" collapsed="false">
      <c r="A20" s="0" t="n">
        <v>2026</v>
      </c>
      <c r="B20" s="0" t="s">
        <v>170</v>
      </c>
      <c r="C20" s="0" t="s">
        <v>171</v>
      </c>
      <c r="D20" s="0" t="s">
        <v>172</v>
      </c>
      <c r="E20" s="0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</cols>
  <sheetData>
    <row r="1" customFormat="false" ht="15" hidden="false" customHeight="false" outlineLevel="0" collapsed="false">
      <c r="A1" s="0" t="s">
        <v>174</v>
      </c>
    </row>
    <row r="3" customFormat="false" ht="15" hidden="false" customHeight="false" outlineLevel="0" collapsed="false">
      <c r="A3" s="0" t="s">
        <v>97</v>
      </c>
      <c r="B3" s="0" t="s">
        <v>175</v>
      </c>
      <c r="C3" s="0" t="s">
        <v>176</v>
      </c>
      <c r="D3" s="0" t="s">
        <v>177</v>
      </c>
      <c r="E3" s="0" t="s">
        <v>178</v>
      </c>
      <c r="F3" s="0" t="s">
        <v>179</v>
      </c>
      <c r="G3" s="0" t="s">
        <v>180</v>
      </c>
      <c r="H3" s="0" t="s">
        <v>181</v>
      </c>
      <c r="I3" s="0" t="s">
        <v>182</v>
      </c>
      <c r="J3" s="0" t="s">
        <v>183</v>
      </c>
      <c r="K3" s="0" t="s">
        <v>184</v>
      </c>
      <c r="L3" s="0" t="s">
        <v>185</v>
      </c>
    </row>
    <row r="4" customFormat="false" ht="15" hidden="false" customHeight="false" outlineLevel="0" collapsed="false">
      <c r="A4" s="0" t="n">
        <v>2010</v>
      </c>
      <c r="B4" s="0" t="n">
        <v>0.25</v>
      </c>
      <c r="C4" s="0" t="n">
        <v>2.2</v>
      </c>
      <c r="D4" s="0" t="n">
        <v>2</v>
      </c>
      <c r="E4" s="0" t="n">
        <v>3.34</v>
      </c>
      <c r="F4" s="0" t="n">
        <v>2.91</v>
      </c>
      <c r="G4" s="0" t="n">
        <v>4.603</v>
      </c>
      <c r="H4" s="0" t="n">
        <v>1.3362</v>
      </c>
      <c r="I4" s="0" t="n">
        <v>2826</v>
      </c>
      <c r="J4" s="0" t="n">
        <v>-2.8</v>
      </c>
      <c r="K4" s="0" t="n">
        <v>2.4</v>
      </c>
      <c r="L4" s="0" t="n">
        <v>16.9</v>
      </c>
    </row>
    <row r="5" customFormat="false" ht="15" hidden="false" customHeight="false" outlineLevel="0" collapsed="false">
      <c r="A5" s="0" t="n">
        <v>2011</v>
      </c>
      <c r="B5" s="0" t="n">
        <v>0.25</v>
      </c>
      <c r="C5" s="0" t="n">
        <v>2.8</v>
      </c>
      <c r="D5" s="0" t="n">
        <v>1.8</v>
      </c>
      <c r="E5" s="0" t="n">
        <v>3.16</v>
      </c>
      <c r="F5" s="0" t="n">
        <v>1.93</v>
      </c>
      <c r="G5" s="0" t="n">
        <v>6.812</v>
      </c>
      <c r="H5" s="0" t="n">
        <v>1.2939</v>
      </c>
      <c r="I5" s="0" t="n">
        <v>2283</v>
      </c>
      <c r="J5" s="0" t="n">
        <v>-19.2</v>
      </c>
      <c r="K5" s="0" t="n">
        <v>-19.7</v>
      </c>
      <c r="L5" s="0" t="n">
        <v>-1.8</v>
      </c>
    </row>
    <row r="6" customFormat="false" ht="15" hidden="false" customHeight="false" outlineLevel="0" collapsed="false">
      <c r="A6" s="0" t="n">
        <v>2012</v>
      </c>
      <c r="B6" s="0" t="n">
        <v>0</v>
      </c>
      <c r="C6" s="0" t="n">
        <v>2.2</v>
      </c>
      <c r="D6" s="0" t="n">
        <v>-0.9</v>
      </c>
      <c r="E6" s="0" t="n">
        <v>2.01</v>
      </c>
      <c r="F6" s="0" t="n">
        <v>1.3</v>
      </c>
      <c r="G6" s="0" t="n">
        <v>4.542</v>
      </c>
      <c r="H6" s="0" t="n">
        <v>1.3194</v>
      </c>
      <c r="I6" s="0" t="n">
        <v>2626</v>
      </c>
      <c r="J6" s="0" t="n">
        <v>15</v>
      </c>
      <c r="K6" s="0" t="n">
        <v>16.9</v>
      </c>
      <c r="L6" s="0" t="n">
        <v>15.9</v>
      </c>
    </row>
    <row r="7" customFormat="false" ht="15" hidden="false" customHeight="false" outlineLevel="0" collapsed="false">
      <c r="A7" s="0" t="n">
        <v>2013</v>
      </c>
      <c r="B7" s="0" t="n">
        <v>0</v>
      </c>
      <c r="C7" s="0" t="n">
        <v>0.8</v>
      </c>
      <c r="D7" s="0" t="n">
        <v>-0.1</v>
      </c>
      <c r="E7" s="0" t="n">
        <v>2.33</v>
      </c>
      <c r="F7" s="0" t="n">
        <v>1.8</v>
      </c>
      <c r="G7" s="0" t="n">
        <v>4.114</v>
      </c>
      <c r="H7" s="0" t="n">
        <v>1.3791</v>
      </c>
      <c r="I7" s="0" t="n">
        <v>3010</v>
      </c>
      <c r="J7" s="0" t="n">
        <v>14.7</v>
      </c>
      <c r="K7" s="0" t="n">
        <v>17.4</v>
      </c>
      <c r="L7" s="0" t="n">
        <v>38.3</v>
      </c>
    </row>
    <row r="8" customFormat="false" ht="15" hidden="false" customHeight="false" outlineLevel="0" collapsed="false">
      <c r="A8" s="0" t="n">
        <v>2014</v>
      </c>
      <c r="B8" s="0" t="n">
        <v>-0.2</v>
      </c>
      <c r="C8" s="0" t="n">
        <v>-0.2</v>
      </c>
      <c r="D8" s="0" t="n">
        <v>1.5</v>
      </c>
      <c r="E8" s="0" t="n">
        <v>0.92</v>
      </c>
      <c r="F8" s="0" t="n">
        <v>0.59</v>
      </c>
      <c r="G8" s="0" t="n">
        <v>1.99</v>
      </c>
      <c r="H8" s="0" t="n">
        <v>1.2141</v>
      </c>
      <c r="I8" s="0" t="n">
        <v>3160</v>
      </c>
      <c r="J8" s="0" t="n">
        <v>5</v>
      </c>
      <c r="K8" s="0" t="n">
        <v>5</v>
      </c>
      <c r="L8" s="0" t="n">
        <v>13.4</v>
      </c>
    </row>
    <row r="9" customFormat="false" ht="15" hidden="false" customHeight="false" outlineLevel="0" collapsed="false">
      <c r="A9" s="0" t="n">
        <v>2015</v>
      </c>
      <c r="B9" s="0" t="n">
        <v>-0.3</v>
      </c>
      <c r="C9" s="0" t="n">
        <v>0.3</v>
      </c>
      <c r="D9" s="0" t="n">
        <v>2</v>
      </c>
      <c r="E9" s="0" t="n">
        <v>0.93</v>
      </c>
      <c r="F9" s="0" t="n">
        <v>0.55</v>
      </c>
      <c r="G9" s="0" t="n">
        <v>1.579</v>
      </c>
      <c r="H9" s="0" t="n">
        <v>1.0887</v>
      </c>
      <c r="I9" s="0" t="n">
        <v>3289</v>
      </c>
      <c r="J9" s="0" t="n">
        <v>4.1</v>
      </c>
      <c r="K9" s="0" t="n">
        <v>8.1</v>
      </c>
      <c r="L9" s="0" t="n">
        <v>5.7</v>
      </c>
    </row>
    <row r="10" customFormat="false" ht="15" hidden="false" customHeight="false" outlineLevel="0" collapsed="false">
      <c r="A10" s="0" t="n">
        <v>2016</v>
      </c>
      <c r="B10" s="0" t="n">
        <v>-0.4</v>
      </c>
      <c r="C10" s="0" t="n">
        <v>1.1</v>
      </c>
      <c r="D10" s="0" t="n">
        <v>1.8</v>
      </c>
      <c r="E10" s="0" t="n">
        <v>0.75</v>
      </c>
      <c r="F10" s="0" t="n">
        <v>0.25</v>
      </c>
      <c r="G10" s="0" t="n">
        <v>1.886</v>
      </c>
      <c r="H10" s="0" t="n">
        <v>1.0541</v>
      </c>
      <c r="I10" s="0" t="n">
        <v>3207</v>
      </c>
      <c r="J10" s="0" t="n">
        <v>-2.5</v>
      </c>
      <c r="K10" s="0" t="n">
        <v>-1</v>
      </c>
      <c r="L10" s="0" t="n">
        <v>7.5</v>
      </c>
    </row>
    <row r="11" customFormat="false" ht="15" hidden="false" customHeight="false" outlineLevel="0" collapsed="false">
      <c r="A11" s="0" t="n">
        <v>2017</v>
      </c>
      <c r="B11" s="0" t="n">
        <v>-0.4</v>
      </c>
      <c r="C11" s="0" t="n">
        <v>1.3</v>
      </c>
      <c r="D11" s="0" t="n">
        <v>2.8</v>
      </c>
      <c r="E11" s="0" t="n">
        <v>0.67</v>
      </c>
      <c r="F11" s="0" t="n">
        <v>0.3</v>
      </c>
      <c r="G11" s="0" t="n">
        <v>1.795</v>
      </c>
      <c r="H11" s="0" t="n">
        <v>1.1993</v>
      </c>
      <c r="I11" s="0" t="n">
        <v>3565</v>
      </c>
      <c r="J11" s="0" t="n">
        <v>11.1</v>
      </c>
      <c r="K11" s="0" t="n">
        <v>13.8</v>
      </c>
      <c r="L11" s="0" t="n">
        <v>28.2</v>
      </c>
    </row>
    <row r="12" customFormat="false" ht="15" hidden="false" customHeight="false" outlineLevel="0" collapsed="false">
      <c r="A12" s="0" t="n">
        <v>2018</v>
      </c>
      <c r="B12" s="0" t="n">
        <v>-0.4</v>
      </c>
      <c r="C12" s="0" t="n">
        <v>1.5</v>
      </c>
      <c r="D12" s="0" t="n">
        <v>1.8</v>
      </c>
      <c r="E12" s="0" t="n">
        <v>0.7</v>
      </c>
      <c r="F12" s="0" t="n">
        <v>0.19</v>
      </c>
      <c r="G12" s="0" t="n">
        <v>2.975</v>
      </c>
      <c r="H12" s="0" t="n">
        <v>1.145</v>
      </c>
      <c r="I12" s="0" t="n">
        <v>3058</v>
      </c>
      <c r="J12" s="0" t="n">
        <v>-14.2</v>
      </c>
      <c r="K12" s="0" t="n">
        <v>-14</v>
      </c>
      <c r="L12" s="0" t="n">
        <v>-3.9</v>
      </c>
    </row>
    <row r="13" customFormat="false" ht="15" hidden="false" customHeight="false" outlineLevel="0" collapsed="false">
      <c r="A13" s="0" t="n">
        <v>2019</v>
      </c>
      <c r="B13" s="0" t="n">
        <v>-0.5</v>
      </c>
      <c r="C13" s="0" t="n">
        <v>1.3</v>
      </c>
      <c r="D13" s="0" t="n">
        <v>1.6</v>
      </c>
      <c r="E13" s="0" t="n">
        <v>0.04</v>
      </c>
      <c r="F13" s="0" t="n">
        <v>-0.3</v>
      </c>
      <c r="G13" s="0" t="n">
        <v>1.37</v>
      </c>
      <c r="H13" s="0" t="n">
        <v>1.1234</v>
      </c>
      <c r="I13" s="0" t="n">
        <v>3715</v>
      </c>
      <c r="J13" s="0" t="n">
        <v>21.5</v>
      </c>
      <c r="K13" s="0" t="n">
        <v>19.6</v>
      </c>
      <c r="L13" s="0" t="n">
        <v>35.2</v>
      </c>
    </row>
    <row r="14" customFormat="false" ht="15" hidden="false" customHeight="false" outlineLevel="0" collapsed="false">
      <c r="A14" s="0" t="n">
        <v>2020</v>
      </c>
      <c r="B14" s="0" t="n">
        <v>-0.5</v>
      </c>
      <c r="C14" s="0" t="n">
        <v>-0.3</v>
      </c>
      <c r="D14" s="0" t="n">
        <v>-6.2</v>
      </c>
      <c r="E14" s="0" t="n">
        <v>-0.34</v>
      </c>
      <c r="F14" s="0" t="n">
        <v>-0.618</v>
      </c>
      <c r="G14" s="0" t="n">
        <v>0.578</v>
      </c>
      <c r="H14" s="0" t="n">
        <v>1.2271</v>
      </c>
      <c r="I14" s="0" t="n">
        <v>3531</v>
      </c>
      <c r="J14" s="0" t="n">
        <v>-5</v>
      </c>
      <c r="K14" s="0" t="n">
        <v>-1.7</v>
      </c>
      <c r="L14" s="0" t="n">
        <v>43.6</v>
      </c>
    </row>
    <row r="15" customFormat="false" ht="15" hidden="false" customHeight="false" outlineLevel="0" collapsed="false">
      <c r="A15" s="0" t="n">
        <v>2021</v>
      </c>
      <c r="B15" s="0" t="n">
        <v>-0.5</v>
      </c>
      <c r="C15" s="0" t="n">
        <v>5</v>
      </c>
      <c r="D15" s="0" t="n">
        <v>6.6</v>
      </c>
      <c r="E15" s="0" t="n">
        <v>0.05</v>
      </c>
      <c r="F15" s="0" t="n">
        <v>-0.383</v>
      </c>
      <c r="G15" s="0" t="n">
        <v>1.047</v>
      </c>
      <c r="H15" s="0" t="n">
        <v>1.1326</v>
      </c>
      <c r="I15" s="0" t="n">
        <v>4208</v>
      </c>
      <c r="J15" s="0" t="n">
        <v>19.2</v>
      </c>
      <c r="K15" s="0" t="n">
        <v>19</v>
      </c>
      <c r="L15" s="0" t="n">
        <v>21.4</v>
      </c>
    </row>
    <row r="16" customFormat="false" ht="15" hidden="false" customHeight="false" outlineLevel="0" collapsed="false">
      <c r="A16" s="0" t="n">
        <v>2022</v>
      </c>
      <c r="B16" s="0" t="n">
        <v>2</v>
      </c>
      <c r="C16" s="0" t="n">
        <v>9.2</v>
      </c>
      <c r="D16" s="0" t="n">
        <v>3.7</v>
      </c>
      <c r="E16" s="0" t="n">
        <v>2.62</v>
      </c>
      <c r="F16" s="0" t="n">
        <v>2.085</v>
      </c>
      <c r="G16" s="0" t="n">
        <v>4.257</v>
      </c>
      <c r="H16" s="0" t="n">
        <v>1.0666</v>
      </c>
      <c r="I16" s="0" t="n">
        <v>3885</v>
      </c>
      <c r="J16" s="0" t="n">
        <v>-7.7</v>
      </c>
      <c r="K16" s="0" t="n">
        <v>-10.8</v>
      </c>
      <c r="L16" s="0" t="n">
        <v>-33.1</v>
      </c>
    </row>
    <row r="17" customFormat="false" ht="15" hidden="false" customHeight="false" outlineLevel="0" collapsed="false">
      <c r="A17" s="0" t="n">
        <v>2023</v>
      </c>
      <c r="B17" s="0" t="n">
        <v>4</v>
      </c>
      <c r="C17" s="0" t="n">
        <v>2.9</v>
      </c>
      <c r="D17" s="0" t="n">
        <v>0.6</v>
      </c>
      <c r="E17" s="0" t="n">
        <v>2.65</v>
      </c>
      <c r="F17" s="0" t="n">
        <v>2.101</v>
      </c>
      <c r="G17" s="0" t="n">
        <v>3.821</v>
      </c>
      <c r="H17" s="0" t="n">
        <v>1.105</v>
      </c>
      <c r="I17" s="0" t="n">
        <v>4509</v>
      </c>
      <c r="J17" s="0" t="n">
        <v>16.1</v>
      </c>
      <c r="K17" s="0" t="n">
        <v>12.8</v>
      </c>
      <c r="L17" s="0" t="n">
        <v>43.4</v>
      </c>
    </row>
    <row r="18" customFormat="false" ht="15" hidden="false" customHeight="false" outlineLevel="0" collapsed="false">
      <c r="A18" s="0" t="n">
        <v>2024</v>
      </c>
      <c r="B18" s="0" t="n">
        <v>3</v>
      </c>
      <c r="C18" s="0" t="n">
        <v>2.4</v>
      </c>
      <c r="D18" s="0" t="n">
        <v>1</v>
      </c>
      <c r="E18" s="0" t="n">
        <v>3.01</v>
      </c>
      <c r="F18" s="0" t="n">
        <v>2.178</v>
      </c>
      <c r="G18" s="0" t="n">
        <v>3.321</v>
      </c>
      <c r="H18" s="0" t="n">
        <v>1.0389</v>
      </c>
      <c r="I18" s="0" t="n">
        <v>4918</v>
      </c>
      <c r="J18" s="0" t="n">
        <v>9.1</v>
      </c>
      <c r="K18" s="0" t="n">
        <v>7.5</v>
      </c>
      <c r="L18" s="0" t="n">
        <v>28.6</v>
      </c>
    </row>
    <row r="19" customFormat="false" ht="15" hidden="false" customHeight="false" outlineLevel="0" collapsed="false">
      <c r="A19" s="0" t="n">
        <v>2025</v>
      </c>
      <c r="B19" s="0" t="n">
        <v>2</v>
      </c>
      <c r="C19" s="0" t="n">
        <v>1.9</v>
      </c>
      <c r="D19" s="0" t="n">
        <v>1.3</v>
      </c>
      <c r="E19" s="0" t="n">
        <v>3.56</v>
      </c>
      <c r="F19" s="0" t="n">
        <v>2.813</v>
      </c>
      <c r="G19" s="0" t="n">
        <v>3.552</v>
      </c>
      <c r="H19" s="0" t="n">
        <v>1.175</v>
      </c>
      <c r="I19" s="0" t="n">
        <v>5731</v>
      </c>
      <c r="J19" s="0" t="n">
        <v>16.5</v>
      </c>
      <c r="K19" s="0" t="n">
        <v>19.1</v>
      </c>
      <c r="L19" s="0" t="n">
        <v>20.4</v>
      </c>
    </row>
    <row r="20" customFormat="false" ht="15" hidden="false" customHeight="false" outlineLevel="0" collapsed="false">
      <c r="A20" s="0" t="n">
        <v>2026</v>
      </c>
      <c r="B20" s="0" t="n">
        <v>2.5</v>
      </c>
      <c r="D20" s="0" t="n">
        <v>0.5</v>
      </c>
      <c r="E20" s="0" t="n">
        <v>4.44</v>
      </c>
      <c r="F20" s="0" t="n">
        <v>3.473</v>
      </c>
      <c r="G20" s="0" t="n">
        <v>4.362</v>
      </c>
      <c r="H20" s="0" t="n">
        <v>1.1225</v>
      </c>
      <c r="I20" s="0" t="n">
        <v>6316</v>
      </c>
      <c r="J20" s="0" t="n">
        <v>10.2</v>
      </c>
      <c r="K20" s="0" t="n">
        <v>10.2</v>
      </c>
      <c r="L20" s="0" t="n">
        <v>13.7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2026-10-20T09:13:58Z</dcterms:created>
  <dc:creator>openpyxl</dc:creator>
  <dc:description/>
  <dc:language>en-US</dc:language>
  <cp:lastModifiedBy/>
  <dcterms:modified xsi:type="dcterms:W3CDTF">2026-10-20T09:13:58Z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